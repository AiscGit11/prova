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FedericoPaladini\OneDrive - aiscon.it\Desktop\"/>
    </mc:Choice>
  </mc:AlternateContent>
  <xr:revisionPtr revIDLastSave="0" documentId="13_ncr:1_{03326BBF-C113-43F3-829E-C167C00284B2}" xr6:coauthVersionLast="47" xr6:coauthVersionMax="47" xr10:uidLastSave="{00000000-0000-0000-0000-000000000000}"/>
  <bookViews>
    <workbookView xWindow="-120" yWindow="-120" windowWidth="29040" windowHeight="15720" activeTab="2" xr2:uid="{D0769053-8A18-4FB4-99D1-60FE674345DB}"/>
  </bookViews>
  <sheets>
    <sheet name="Calcolo risparmi" sheetId="1" r:id="rId1"/>
    <sheet name="Calcolo Trattenute" sheetId="2" r:id="rId2"/>
    <sheet name="Previsioni" sheetId="3" r:id="rId3"/>
    <sheet name="Calcoli per previsioni" sheetId="4" state="hidden" r:id="rId4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68" i="1" l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H8" i="1"/>
  <c r="D12" i="1"/>
  <c r="D27" i="4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67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L5" i="1"/>
  <c r="D68" i="1"/>
  <c r="D23" i="1"/>
  <c r="D22" i="1"/>
  <c r="D21" i="1"/>
  <c r="D20" i="1"/>
  <c r="D19" i="1"/>
  <c r="D18" i="1"/>
  <c r="D17" i="1"/>
  <c r="D16" i="1"/>
  <c r="D15" i="1"/>
  <c r="D14" i="1"/>
  <c r="D13" i="1"/>
  <c r="D11" i="1"/>
  <c r="D10" i="1"/>
  <c r="D9" i="1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G5" i="4"/>
  <c r="E5" i="4"/>
  <c r="B5" i="4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H20" i="2" l="1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I5" i="2"/>
  <c r="J5" i="2" s="1"/>
  <c r="K5" i="2" s="1"/>
  <c r="D8" i="1" s="1"/>
  <c r="B27" i="4" l="1"/>
  <c r="C27" i="4"/>
  <c r="D5" i="4" s="1"/>
  <c r="I5" i="4"/>
  <c r="F5" i="4" s="1"/>
  <c r="C12" i="3" s="1"/>
  <c r="C21" i="3"/>
  <c r="G12" i="3" l="1"/>
  <c r="F12" i="3"/>
  <c r="G21" i="3"/>
  <c r="F21" i="3"/>
  <c r="C9" i="3"/>
  <c r="C13" i="3"/>
  <c r="C14" i="3"/>
  <c r="C15" i="3"/>
  <c r="C16" i="3"/>
  <c r="C17" i="3"/>
  <c r="C18" i="3"/>
  <c r="C19" i="3"/>
  <c r="C20" i="3"/>
  <c r="C10" i="3"/>
  <c r="C11" i="3"/>
  <c r="C8" i="3"/>
  <c r="G9" i="3" l="1"/>
  <c r="F9" i="3"/>
  <c r="G13" i="3"/>
  <c r="F13" i="3"/>
  <c r="G14" i="3"/>
  <c r="F14" i="3"/>
  <c r="F15" i="3"/>
  <c r="G15" i="3"/>
  <c r="G16" i="3"/>
  <c r="F16" i="3"/>
  <c r="G17" i="3"/>
  <c r="F17" i="3"/>
  <c r="G18" i="3"/>
  <c r="F18" i="3"/>
  <c r="F19" i="3"/>
  <c r="G19" i="3"/>
  <c r="F20" i="3"/>
  <c r="G20" i="3"/>
  <c r="F10" i="3"/>
  <c r="G10" i="3"/>
  <c r="F11" i="3"/>
  <c r="G11" i="3"/>
  <c r="F8" i="3"/>
  <c r="G8" i="3"/>
  <c r="K5" i="4"/>
  <c r="H5" i="4" l="1"/>
  <c r="J5" i="4"/>
</calcChain>
</file>

<file path=xl/sharedStrings.xml><?xml version="1.0" encoding="utf-8"?>
<sst xmlns="http://schemas.openxmlformats.org/spreadsheetml/2006/main" count="101" uniqueCount="60">
  <si>
    <t>Mese</t>
  </si>
  <si>
    <t>Importo</t>
  </si>
  <si>
    <t>Risparmi</t>
  </si>
  <si>
    <t>Lifestyle</t>
  </si>
  <si>
    <t>Note</t>
  </si>
  <si>
    <t>Tipologia</t>
  </si>
  <si>
    <t>Rata Auto</t>
  </si>
  <si>
    <t>Alleanza Assicurazioni</t>
  </si>
  <si>
    <t>Spotify</t>
  </si>
  <si>
    <t>Icloud</t>
  </si>
  <si>
    <t>Ricarica Tel.</t>
  </si>
  <si>
    <t>Assicurazione Auto</t>
  </si>
  <si>
    <t>Bollo</t>
  </si>
  <si>
    <t>MENSILE</t>
  </si>
  <si>
    <t>ANNUALE</t>
  </si>
  <si>
    <t>Calcoli</t>
  </si>
  <si>
    <t>Sono Mensile?</t>
  </si>
  <si>
    <t>Importo mensile dovuto</t>
  </si>
  <si>
    <t>Presenza Tredicesima</t>
  </si>
  <si>
    <t>Presenza Quattordicesima</t>
  </si>
  <si>
    <t>SI</t>
  </si>
  <si>
    <t>NO</t>
  </si>
  <si>
    <t>Presenza 13° o 14°</t>
  </si>
  <si>
    <t>Risparmio %</t>
  </si>
  <si>
    <t>Lifestyle %</t>
  </si>
  <si>
    <t>Maggio</t>
  </si>
  <si>
    <t>Anno</t>
  </si>
  <si>
    <t>Importo Busta Paga</t>
  </si>
  <si>
    <t>Importo Pulito</t>
  </si>
  <si>
    <t>Tredicesima</t>
  </si>
  <si>
    <t>Quattordicesima</t>
  </si>
  <si>
    <t>Totale Previsto risparmiato</t>
  </si>
  <si>
    <t>Totale Previsto Lifestyle</t>
  </si>
  <si>
    <t>Totale Entrate</t>
  </si>
  <si>
    <t>Totale Uscite</t>
  </si>
  <si>
    <t>Importo Pulito Annuale</t>
  </si>
  <si>
    <t>Importo mensile totale reale (12m)</t>
  </si>
  <si>
    <t>Importo menisle totale effettivo</t>
  </si>
  <si>
    <t>Gennaio</t>
  </si>
  <si>
    <t>Febbraio</t>
  </si>
  <si>
    <t>Marzo</t>
  </si>
  <si>
    <t>Aprile</t>
  </si>
  <si>
    <t>Giugno</t>
  </si>
  <si>
    <t>Luglio</t>
  </si>
  <si>
    <t>Agosto</t>
  </si>
  <si>
    <t>Settembre</t>
  </si>
  <si>
    <t>Ottobre</t>
  </si>
  <si>
    <t>Novembre</t>
  </si>
  <si>
    <t>Dicembre</t>
  </si>
  <si>
    <t>FOGLIO DI SIMULAZIONE PER PREVISIONI ANNUE</t>
  </si>
  <si>
    <t>Importo mensile reale (12m)</t>
  </si>
  <si>
    <t>Importo annuo totale (12m)</t>
  </si>
  <si>
    <t>Importo mensile effettivo</t>
  </si>
  <si>
    <t>CALCOLO DEI RISPARMI MENSILI</t>
  </si>
  <si>
    <t>CALCOLO DELLE TRATTENUTE</t>
  </si>
  <si>
    <t>CALCOLI DELLE PREVISIONI</t>
  </si>
  <si>
    <t>CALCOLI DELLE EFFETTIVI</t>
  </si>
  <si>
    <t>Lifestyle Attuale</t>
  </si>
  <si>
    <t>RISPARMIO ATTUALE</t>
  </si>
  <si>
    <t>OFFSET INIZIO DOC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</si>
</sst>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[$€-410]_-;\-* #,##0.00\ [$€-410]_-;_-* &quot;-&quot;??\ [$€-410]_-;_-@_-"/>
    <numFmt numFmtId="165" formatCode="0.0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3"/>
      <color rgb="FFC0000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3"/>
      <color rgb="FF453A0B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1"/>
      <color rgb="FFFA7D00"/>
      <name val="Aptos Narrow"/>
      <family val="2"/>
      <scheme val="minor"/>
    </font>
    <font>
      <b/>
      <sz val="13"/>
      <color theme="9" tint="-0.499984740745262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rgb="FFFFC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 style="medium">
        <color rgb="FFFF0000"/>
      </top>
      <bottom/>
      <diagonal/>
    </border>
    <border>
      <left/>
      <right style="thin">
        <color rgb="FFFF0000"/>
      </right>
      <top/>
      <bottom/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4"/>
      </bottom>
      <diagonal/>
    </border>
    <border>
      <left/>
      <right style="thin">
        <color theme="4"/>
      </right>
      <top/>
      <bottom/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rgb="FFFF0000"/>
      </left>
      <right/>
      <top/>
      <bottom/>
      <diagonal/>
    </border>
    <border>
      <left/>
      <right/>
      <top/>
      <bottom style="medium">
        <color theme="9"/>
      </bottom>
      <diagonal/>
    </border>
    <border>
      <left style="thin">
        <color rgb="FFFF0000"/>
      </left>
      <right/>
      <top style="medium">
        <color rgb="FFFF0000"/>
      </top>
      <bottom/>
      <diagonal/>
    </border>
    <border>
      <left style="thin">
        <color rgb="FFFF0000"/>
      </left>
      <right/>
      <top/>
      <bottom style="thin">
        <color rgb="FFFF0000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8" fillId="0" borderId="0" applyNumberFormat="0" applyFill="0" applyBorder="0" applyAlignment="0" applyProtection="0"/>
    <xf numFmtId="0" fontId="9" fillId="2" borderId="7" applyNumberFormat="0" applyAlignment="0" applyProtection="0"/>
  </cellStyleXfs>
  <cellXfs count="43">
    <xf numFmtId="0" fontId="0" fillId="0" borderId="0" xfId="0"/>
    <xf numFmtId="0" fontId="2" fillId="0" borderId="1" xfId="2"/>
    <xf numFmtId="0" fontId="5" fillId="0" borderId="3" xfId="2" applyFont="1" applyBorder="1"/>
    <xf numFmtId="0" fontId="6" fillId="0" borderId="0" xfId="0" applyFont="1"/>
    <xf numFmtId="0" fontId="4" fillId="0" borderId="0" xfId="0" applyFont="1"/>
    <xf numFmtId="164" fontId="0" fillId="0" borderId="0" xfId="0" applyNumberFormat="1"/>
    <xf numFmtId="0" fontId="3" fillId="2" borderId="2" xfId="3"/>
    <xf numFmtId="165" fontId="0" fillId="0" borderId="0" xfId="0" applyNumberFormat="1"/>
    <xf numFmtId="0" fontId="3" fillId="2" borderId="4" xfId="3" applyBorder="1"/>
    <xf numFmtId="0" fontId="3" fillId="2" borderId="5" xfId="3" applyBorder="1"/>
    <xf numFmtId="0" fontId="7" fillId="0" borderId="6" xfId="2" applyFont="1" applyFill="1" applyBorder="1"/>
    <xf numFmtId="1" fontId="0" fillId="0" borderId="0" xfId="0" applyNumberFormat="1"/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  <xf numFmtId="9" fontId="0" fillId="0" borderId="0" xfId="1" applyFont="1"/>
    <xf numFmtId="164" fontId="4" fillId="0" borderId="0" xfId="0" applyNumberFormat="1" applyFont="1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4" fillId="0" borderId="8" xfId="0" applyFont="1" applyBorder="1"/>
    <xf numFmtId="0" fontId="0" fillId="0" borderId="8" xfId="0" applyBorder="1"/>
    <xf numFmtId="164" fontId="0" fillId="0" borderId="8" xfId="0" applyNumberFormat="1" applyBorder="1"/>
    <xf numFmtId="164" fontId="0" fillId="0" borderId="9" xfId="0" applyNumberFormat="1" applyBorder="1"/>
    <xf numFmtId="164" fontId="0" fillId="0" borderId="10" xfId="0" applyNumberFormat="1" applyBorder="1"/>
    <xf numFmtId="164" fontId="0" fillId="0" borderId="11" xfId="0" applyNumberFormat="1" applyBorder="1"/>
    <xf numFmtId="2" fontId="0" fillId="0" borderId="0" xfId="0" applyNumberFormat="1"/>
    <xf numFmtId="0" fontId="8" fillId="0" borderId="12" xfId="4" applyBorder="1" applyAlignment="1">
      <alignment horizontal="left" vertical="center"/>
    </xf>
    <xf numFmtId="164" fontId="0" fillId="0" borderId="12" xfId="0" applyNumberFormat="1" applyBorder="1" applyAlignment="1">
      <alignment horizontal="left" vertical="center"/>
    </xf>
    <xf numFmtId="164" fontId="4" fillId="0" borderId="12" xfId="0" applyNumberFormat="1" applyFont="1" applyBorder="1" applyAlignment="1">
      <alignment horizontal="left" vertical="center"/>
    </xf>
    <xf numFmtId="0" fontId="0" fillId="0" borderId="12" xfId="0" applyBorder="1"/>
    <xf numFmtId="0" fontId="0" fillId="0" borderId="13" xfId="0" applyBorder="1" applyAlignment="1">
      <alignment horizontal="left" vertical="center"/>
    </xf>
    <xf numFmtId="164" fontId="0" fillId="0" borderId="13" xfId="0" applyNumberFormat="1" applyBorder="1" applyAlignment="1">
      <alignment horizontal="left" vertical="center"/>
    </xf>
    <xf numFmtId="164" fontId="4" fillId="0" borderId="14" xfId="0" applyNumberFormat="1" applyFont="1" applyBorder="1" applyAlignment="1">
      <alignment horizontal="left" vertical="center"/>
    </xf>
    <xf numFmtId="0" fontId="9" fillId="2" borderId="7" xfId="5"/>
    <xf numFmtId="0" fontId="0" fillId="0" borderId="16" xfId="0" applyBorder="1"/>
    <xf numFmtId="0" fontId="10" fillId="0" borderId="17" xfId="2" applyFont="1" applyFill="1" applyBorder="1"/>
    <xf numFmtId="164" fontId="0" fillId="0" borderId="15" xfId="0" applyNumberFormat="1" applyBorder="1" applyAlignment="1">
      <alignment horizontal="left" vertical="center"/>
    </xf>
    <xf numFmtId="0" fontId="5" fillId="0" borderId="0" xfId="2" applyFont="1" applyBorder="1"/>
    <xf numFmtId="164" fontId="0" fillId="0" borderId="0" xfId="0" applyNumberFormat="1" applyBorder="1"/>
    <xf numFmtId="0" fontId="7" fillId="0" borderId="0" xfId="2" applyFont="1" applyFill="1" applyBorder="1"/>
    <xf numFmtId="164" fontId="4" fillId="0" borderId="0" xfId="0" applyNumberFormat="1" applyFont="1" applyBorder="1" applyAlignment="1">
      <alignment horizontal="left" vertical="center"/>
    </xf>
    <xf numFmtId="9" fontId="0" fillId="0" borderId="13" xfId="1" applyFont="1" applyBorder="1"/>
    <xf numFmtId="0" fontId="6" fillId="0" borderId="18" xfId="0" applyFont="1" applyBorder="1"/>
    <xf numFmtId="0" fontId="4" fillId="0" borderId="16" xfId="0" applyFont="1" applyBorder="1"/>
    <xf numFmtId="0" fontId="4" fillId="0" borderId="19" xfId="0" applyFont="1" applyBorder="1"/>
  </cellXfs>
  <cellStyles count="6">
    <cellStyle name="Calcolo" xfId="5" builtinId="22"/>
    <cellStyle name="Normale" xfId="0" builtinId="0"/>
    <cellStyle name="Output" xfId="3" builtinId="21"/>
    <cellStyle name="Percentuale" xfId="1" builtinId="5"/>
    <cellStyle name="Titolo" xfId="4" builtinId="15"/>
    <cellStyle name="Titolo 2" xfId="2" builtinId="17"/>
  </cellStyles>
  <dxfs count="2">
    <dxf>
      <font>
        <b val="0"/>
        <i val="0"/>
        <strike/>
      </font>
      <fill>
        <patternFill>
          <bgColor theme="4" tint="0.79998168889431442"/>
        </patternFill>
      </fill>
      <border>
        <left/>
        <right/>
        <top/>
        <bottom/>
      </border>
    </dxf>
    <dxf>
      <font>
        <b val="0"/>
        <i val="0"/>
        <strike/>
      </font>
      <fill>
        <patternFill>
          <bgColor theme="4" tint="0.79998168889431442"/>
        </patternFill>
      </fill>
      <border>
        <left/>
        <right/>
        <top/>
        <bottom/>
      </border>
    </dxf>
  </dxfs>
  <tableStyles count="0" defaultTableStyle="TableStyleMedium2" defaultPivotStyle="PivotStyleLight16"/>
  <colors>
    <mruColors>
      <color rgb="FFECE6B6"/>
      <color rgb="FF453A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368265577410842"/>
          <c:y val="1.75824175824175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'Calcoli per previsioni'!$B$26</c:f>
              <c:strCache>
                <c:ptCount val="1"/>
                <c:pt idx="0">
                  <c:v>RISPARMIO ATTUALE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'Calcoli per previsioni'!$B$27</c:f>
              <c:numCache>
                <c:formatCode>_-* #,##0.00\ [$€-410]_-;\-* #,##0.00\ [$€-410]_-;_-* "-"??\ [$€-410]_-;_-@_-</c:formatCode>
                <c:ptCount val="1"/>
                <c:pt idx="0">
                  <c:v>7940.1223846153844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B3-40BE-B4FE-B46D86835F4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80619023"/>
        <c:axId val="80619503"/>
      </c:barChart>
      <c:catAx>
        <c:axId val="8061902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80619503"/>
        <c:crosses val="autoZero"/>
        <c:auto val="1"/>
        <c:lblAlgn val="ctr"/>
        <c:lblOffset val="100"/>
        <c:noMultiLvlLbl val="0"/>
      </c:catAx>
      <c:valAx>
        <c:axId val="80619503"/>
        <c:scaling>
          <c:orientation val="minMax"/>
          <c:max val="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€-410]_-;\-* #,##0.00\ [$€-410]_-;_-* &quot;-&quot;??\ [$€-410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0619023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PREVISIONE</a:t>
            </a:r>
            <a:r>
              <a:rPr lang="it-IT" baseline="0"/>
              <a:t> ANNUA</a:t>
            </a:r>
            <a:endParaRPr lang="it-IT"/>
          </a:p>
        </c:rich>
      </c:tx>
      <c:layout>
        <c:manualLayout>
          <c:xMode val="edge"/>
          <c:yMode val="edge"/>
          <c:x val="0.39275643721334857"/>
          <c:y val="2.03152665428955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1.1900287826340549E-2"/>
          <c:y val="0.10193277662365949"/>
          <c:w val="0.96331701855326468"/>
          <c:h val="0.80629148994789435"/>
        </c:manualLayout>
      </c:layout>
      <c:ofPieChart>
        <c:ofPieType val="pie"/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solidFill>
                  <a:schemeClr val="tx1"/>
                </a:solidFill>
              </a:ln>
              <a:effectLst>
                <a:outerShdw blurRad="317500" algn="ctr" rotWithShape="0">
                  <a:prstClr val="black">
                    <a:alpha val="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A646-4942-B502-5029FF90A5A3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>
                <a:solidFill>
                  <a:schemeClr val="tx1"/>
                </a:solidFill>
              </a:ln>
              <a:effectLst>
                <a:outerShdw blurRad="317500" algn="ctr" rotWithShape="0">
                  <a:prstClr val="black">
                    <a:alpha val="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A646-4942-B502-5029FF90A5A3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>
                <a:solidFill>
                  <a:schemeClr val="tx1"/>
                </a:solidFill>
              </a:ln>
              <a:effectLst>
                <a:outerShdw blurRad="317500" algn="ctr" rotWithShape="0">
                  <a:prstClr val="black">
                    <a:alpha val="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646-4942-B502-5029FF90A5A3}"/>
              </c:ext>
            </c:extLst>
          </c:dPt>
          <c:dPt>
            <c:idx val="3"/>
            <c:bubble3D val="0"/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tx1"/>
                </a:solidFill>
              </a:ln>
              <a:effectLst>
                <a:outerShdw blurRad="317500" algn="ctr" rotWithShape="0">
                  <a:prstClr val="black">
                    <a:alpha val="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646-4942-B502-5029FF90A5A3}"/>
              </c:ext>
            </c:extLst>
          </c:dPt>
          <c:dPt>
            <c:idx val="4"/>
            <c:bubble3D val="0"/>
            <c:explosion val="2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646-4942-B502-5029FF90A5A3}"/>
              </c:ext>
            </c:extLst>
          </c:dPt>
          <c:dLbls>
            <c:dLbl>
              <c:idx val="0"/>
              <c:tx>
                <c:rich>
                  <a:bodyPr rot="0" spcFirstLastPara="1" vertOverflow="overflow" horzOverflow="overflow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D6CD6AE-1643-40F8-86E3-0DB3664A47D1}" type="VALUE">
                      <a:rPr lang="en-US"/>
                      <a:pPr>
                        <a:defRPr sz="1200"/>
                      </a:pPr>
                      <a:t>[VALORE]</a:t>
                    </a:fld>
                    <a:endParaRPr lang="it-IT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901515122670699"/>
                      <c:h val="4.5078118244214788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A646-4942-B502-5029FF90A5A3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t" anchorCtr="0">
                    <a:sp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E9B099D-4E95-489B-9031-EC3EC7C96A7C}" type="VALUE">
                      <a:rPr lang="en-US"/>
                      <a:pPr>
                        <a:defRPr sz="1200"/>
                      </a:pPr>
                      <a:t>[VALORE]</a:t>
                    </a:fld>
                    <a:endParaRPr lang="it-IT"/>
                  </a:p>
                </c:rich>
              </c:tx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t" anchorCtr="0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A646-4942-B502-5029FF90A5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6B17B91-D47B-4980-8038-6B1F97E2A97C}" type="VALUE">
                      <a:rPr lang="en-US"/>
                      <a:pPr/>
                      <a:t>[VALORE]</a:t>
                    </a:fld>
                    <a:endParaRPr lang="it-IT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A646-4942-B502-5029FF90A5A3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t" anchorCtr="0">
                    <a:sp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70236BC-D07F-4162-AB46-B00831096AF8}" type="VALUE">
                      <a:rPr lang="en-US"/>
                      <a:pPr>
                        <a:defRPr sz="1200"/>
                      </a:pPr>
                      <a:t>[VALORE]</a:t>
                    </a:fld>
                    <a:r>
                      <a:rPr lang="en-US"/>
                      <a:t> €</a:t>
                    </a:r>
                  </a:p>
                </c:rich>
              </c:tx>
              <c:numFmt formatCode="_(&quot;€&quot;* #,##0.00_);_(&quot;€&quot;* \(#,##0.00\);_(&quot;€&quot;* &quot;-&quot;??_);_(@_)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t" anchorCtr="0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A646-4942-B502-5029FF90A5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'Calcoli per previsioni'!$H$4:$J$4</c:f>
              <c:strCache>
                <c:ptCount val="3"/>
                <c:pt idx="0">
                  <c:v>Totale Previsto risparmiato</c:v>
                </c:pt>
                <c:pt idx="1">
                  <c:v>Totale Uscite</c:v>
                </c:pt>
                <c:pt idx="2">
                  <c:v>Totale Previsto Lifestyle</c:v>
                </c:pt>
              </c:strCache>
            </c:strRef>
          </c:cat>
          <c:val>
            <c:numRef>
              <c:f>'Calcoli per previsioni'!$H$5:$J$5</c:f>
              <c:numCache>
                <c:formatCode>_-* #,##0.00\ [$€-410]_-;\-* #,##0.00\ [$€-410]_-;_-* "-"??\ [$€-410]_-;_-@_-</c:formatCode>
                <c:ptCount val="3"/>
                <c:pt idx="0">
                  <c:v>10266.080999999998</c:v>
                </c:pt>
                <c:pt idx="1">
                  <c:v>5834.17</c:v>
                </c:pt>
                <c:pt idx="2">
                  <c:v>4399.7490000000007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46-4942-B502-5029FF90A5A3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gapWidth val="100"/>
        <c:splitType val="cust"/>
        <c:custSplit>
          <c:secondPiePt val="0"/>
          <c:secondPiePt val="2"/>
        </c:custSplit>
        <c:secondPieSize val="75"/>
        <c:ser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431555253924622"/>
          <c:y val="0.90741455363542167"/>
          <c:w val="0.56794203270715804"/>
          <c:h val="7.7100823387714429E-2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68</xdr:row>
      <xdr:rowOff>104775</xdr:rowOff>
    </xdr:from>
    <xdr:to>
      <xdr:col>4</xdr:col>
      <xdr:colOff>1143000</xdr:colOff>
      <xdr:row>94</xdr:row>
      <xdr:rowOff>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5137F8FF-9614-4BEA-AE48-B8542C37E0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38100</xdr:rowOff>
    </xdr:from>
    <xdr:to>
      <xdr:col>7</xdr:col>
      <xdr:colOff>304800</xdr:colOff>
      <xdr:row>47</xdr:row>
      <xdr:rowOff>77071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2407C80F-C674-9471-9273-3D9A06A70C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FE121-9A23-4120-8339-93099E6F6180}">
  <sheetPr codeName="Foglio1"/>
  <dimension ref="A1:L68"/>
  <sheetViews>
    <sheetView workbookViewId="0">
      <selection activeCell="F4" sqref="F4"/>
    </sheetView>
  </sheetViews>
  <sheetFormatPr defaultRowHeight="15" x14ac:dyDescent="0.25"/>
  <cols>
    <col min="1" max="1" width="23.85546875" style="12" bestFit="1" customWidth="1"/>
    <col min="2" max="2" width="28.28515625" style="12" bestFit="1" customWidth="1"/>
    <col min="3" max="3" width="28.28515625" style="13" bestFit="1" customWidth="1"/>
    <col min="4" max="6" width="28.28515625" style="13" customWidth="1"/>
    <col min="7" max="8" width="15.7109375" style="15" customWidth="1"/>
    <col min="9" max="9" width="12.28515625" bestFit="1" customWidth="1"/>
    <col min="11" max="11" width="14.85546875" hidden="1" customWidth="1"/>
    <col min="12" max="12" width="17.5703125" hidden="1" customWidth="1"/>
    <col min="13" max="13" width="23" bestFit="1" customWidth="1"/>
  </cols>
  <sheetData>
    <row r="1" spans="1:12" ht="15.75" customHeight="1" x14ac:dyDescent="0.25">
      <c r="B1" s="13"/>
      <c r="D1" s="15"/>
      <c r="E1" s="15"/>
      <c r="F1" s="15"/>
      <c r="H1"/>
    </row>
    <row r="2" spans="1:12" s="27" customFormat="1" ht="15.75" customHeight="1" thickBot="1" x14ac:dyDescent="0.3">
      <c r="A2" s="24" t="s">
        <v>53</v>
      </c>
      <c r="B2" s="25"/>
      <c r="C2" s="25"/>
      <c r="D2" s="26"/>
      <c r="E2" s="26"/>
      <c r="F2" s="26"/>
      <c r="G2" s="26"/>
    </row>
    <row r="3" spans="1:12" ht="15.75" customHeight="1" x14ac:dyDescent="0.25">
      <c r="B3" s="13"/>
      <c r="D3" s="15"/>
      <c r="E3" s="15"/>
      <c r="F3" s="15"/>
    </row>
    <row r="4" spans="1:12" ht="18" thickBot="1" x14ac:dyDescent="0.35">
      <c r="A4" s="10" t="s">
        <v>18</v>
      </c>
      <c r="B4" s="10" t="s">
        <v>19</v>
      </c>
      <c r="C4"/>
      <c r="D4"/>
      <c r="E4"/>
      <c r="F4"/>
      <c r="K4" s="6" t="s">
        <v>15</v>
      </c>
      <c r="L4" s="6" t="s">
        <v>22</v>
      </c>
    </row>
    <row r="5" spans="1:12" x14ac:dyDescent="0.25">
      <c r="A5" t="s">
        <v>20</v>
      </c>
      <c r="B5" t="s">
        <v>21</v>
      </c>
      <c r="C5"/>
      <c r="D5"/>
      <c r="E5"/>
      <c r="F5"/>
      <c r="K5" s="6"/>
      <c r="L5">
        <f>IF(A5 ="SI",IF(B5 ="SI",14,13),12)</f>
        <v>13</v>
      </c>
    </row>
    <row r="6" spans="1:12" x14ac:dyDescent="0.25">
      <c r="A6"/>
      <c r="B6"/>
      <c r="C6"/>
      <c r="D6"/>
      <c r="E6"/>
      <c r="F6"/>
      <c r="G6"/>
      <c r="H6"/>
      <c r="K6" s="6"/>
    </row>
    <row r="7" spans="1:12" ht="18" thickBot="1" x14ac:dyDescent="0.35">
      <c r="A7" s="1" t="s">
        <v>26</v>
      </c>
      <c r="B7" s="1" t="s">
        <v>0</v>
      </c>
      <c r="C7" s="1" t="s">
        <v>27</v>
      </c>
      <c r="D7" s="1" t="s">
        <v>28</v>
      </c>
      <c r="E7" s="33" t="s">
        <v>23</v>
      </c>
      <c r="F7" s="33" t="s">
        <v>24</v>
      </c>
      <c r="G7" s="10" t="s">
        <v>2</v>
      </c>
      <c r="H7" s="10" t="s">
        <v>3</v>
      </c>
      <c r="K7" s="6"/>
    </row>
    <row r="8" spans="1:12" ht="15.75" thickTop="1" x14ac:dyDescent="0.25">
      <c r="A8" s="12">
        <v>2026</v>
      </c>
      <c r="B8" s="12" t="s">
        <v>25</v>
      </c>
      <c r="C8" s="13">
        <v>2161</v>
      </c>
      <c r="D8" s="13">
        <f>IF(C8 = "","",C8-'Calcolo Trattenute'!$K$5)</f>
        <v>1712.2176923076922</v>
      </c>
      <c r="E8" s="14">
        <v>0.7</v>
      </c>
      <c r="F8" s="14">
        <v>0.30000000000000004</v>
      </c>
      <c r="G8" s="15">
        <f>IF(D8 = "","",D8*E8)</f>
        <v>1198.5523846153844</v>
      </c>
      <c r="H8" s="30">
        <f>IF(D8 = "", "", D8*F8)</f>
        <v>513.66530769230769</v>
      </c>
      <c r="K8" s="6"/>
    </row>
    <row r="9" spans="1:12" x14ac:dyDescent="0.25">
      <c r="D9" s="13" t="str">
        <f>IF(C9 = "","",C9-'Calcolo Trattenute'!$K$5)</f>
        <v/>
      </c>
      <c r="E9" s="14"/>
      <c r="F9" s="14"/>
      <c r="G9" s="15" t="str">
        <f t="shared" ref="G9:G68" si="0">IF(D9 = "","",D9*E9)</f>
        <v/>
      </c>
      <c r="H9" s="30" t="str">
        <f t="shared" ref="H9:H68" si="1">IF(D9 = "", "", D9*F9)</f>
        <v/>
      </c>
      <c r="K9" s="6"/>
    </row>
    <row r="10" spans="1:12" x14ac:dyDescent="0.25">
      <c r="D10" s="13" t="str">
        <f>IF(C10 = "","",C10-'Calcolo Trattenute'!$K$5)</f>
        <v/>
      </c>
      <c r="E10" s="14"/>
      <c r="F10" s="14"/>
      <c r="G10" s="15" t="str">
        <f t="shared" si="0"/>
        <v/>
      </c>
      <c r="H10" s="30" t="str">
        <f t="shared" si="1"/>
        <v/>
      </c>
      <c r="K10" s="6"/>
    </row>
    <row r="11" spans="1:12" x14ac:dyDescent="0.25">
      <c r="D11" s="13" t="str">
        <f>IF(C11 = "","",C11-'Calcolo Trattenute'!$K$5)</f>
        <v/>
      </c>
      <c r="E11" s="14"/>
      <c r="F11" s="14"/>
      <c r="G11" s="15" t="str">
        <f t="shared" si="0"/>
        <v/>
      </c>
      <c r="H11" s="30" t="str">
        <f t="shared" si="1"/>
        <v/>
      </c>
      <c r="K11" s="6"/>
    </row>
    <row r="12" spans="1:12" x14ac:dyDescent="0.25">
      <c r="D12" s="13" t="str">
        <f>IF(C12 = "","",C12-'Calcolo Trattenute'!$K$5)</f>
        <v/>
      </c>
      <c r="E12" s="14"/>
      <c r="F12" s="14"/>
      <c r="G12" s="15" t="str">
        <f t="shared" si="0"/>
        <v/>
      </c>
      <c r="H12" s="30" t="str">
        <f t="shared" si="1"/>
        <v/>
      </c>
      <c r="K12" s="6"/>
    </row>
    <row r="13" spans="1:12" x14ac:dyDescent="0.25">
      <c r="D13" s="13" t="str">
        <f>IF(C13 = "","",C13-'Calcolo Trattenute'!$K$5)</f>
        <v/>
      </c>
      <c r="E13" s="14"/>
      <c r="F13" s="14"/>
      <c r="G13" s="15" t="str">
        <f t="shared" si="0"/>
        <v/>
      </c>
      <c r="H13" s="30" t="str">
        <f t="shared" si="1"/>
        <v/>
      </c>
      <c r="K13" s="6"/>
    </row>
    <row r="14" spans="1:12" x14ac:dyDescent="0.25">
      <c r="D14" s="13" t="str">
        <f>IF(C14 = "","",C14-'Calcolo Trattenute'!$K$5)</f>
        <v/>
      </c>
      <c r="E14" s="14"/>
      <c r="F14" s="14"/>
      <c r="G14" s="15" t="str">
        <f t="shared" si="0"/>
        <v/>
      </c>
      <c r="H14" s="30" t="str">
        <f t="shared" si="1"/>
        <v/>
      </c>
      <c r="K14" s="6"/>
    </row>
    <row r="15" spans="1:12" x14ac:dyDescent="0.25">
      <c r="D15" s="13" t="str">
        <f>IF(C15 = "","",C15-'Calcolo Trattenute'!$K$5)</f>
        <v/>
      </c>
      <c r="E15" s="14"/>
      <c r="F15" s="14"/>
      <c r="G15" s="15" t="str">
        <f t="shared" si="0"/>
        <v/>
      </c>
      <c r="H15" s="30" t="str">
        <f t="shared" si="1"/>
        <v/>
      </c>
      <c r="K15" s="6"/>
    </row>
    <row r="16" spans="1:12" x14ac:dyDescent="0.25">
      <c r="D16" s="13" t="str">
        <f>IF(C16 = "","",C16-'Calcolo Trattenute'!$K$5)</f>
        <v/>
      </c>
      <c r="E16" s="14"/>
      <c r="F16" s="14"/>
      <c r="G16" s="15" t="str">
        <f t="shared" si="0"/>
        <v/>
      </c>
      <c r="H16" s="30" t="str">
        <f t="shared" si="1"/>
        <v/>
      </c>
      <c r="K16" s="6"/>
    </row>
    <row r="17" spans="4:11" x14ac:dyDescent="0.25">
      <c r="D17" s="13" t="str">
        <f>IF(C17 = "","",C17-'Calcolo Trattenute'!$K$5)</f>
        <v/>
      </c>
      <c r="E17" s="14"/>
      <c r="F17" s="14"/>
      <c r="G17" s="15" t="str">
        <f t="shared" si="0"/>
        <v/>
      </c>
      <c r="H17" s="30" t="str">
        <f t="shared" si="1"/>
        <v/>
      </c>
      <c r="K17" s="6"/>
    </row>
    <row r="18" spans="4:11" x14ac:dyDescent="0.25">
      <c r="D18" s="13" t="str">
        <f>IF(C18 = "","",C18-'Calcolo Trattenute'!$K$5)</f>
        <v/>
      </c>
      <c r="E18" s="14"/>
      <c r="F18" s="14"/>
      <c r="G18" s="15" t="str">
        <f t="shared" si="0"/>
        <v/>
      </c>
      <c r="H18" s="30" t="str">
        <f t="shared" si="1"/>
        <v/>
      </c>
      <c r="K18" s="6"/>
    </row>
    <row r="19" spans="4:11" x14ac:dyDescent="0.25">
      <c r="D19" s="13" t="str">
        <f>IF(C19 = "","",C19-'Calcolo Trattenute'!$K$5)</f>
        <v/>
      </c>
      <c r="E19" s="14"/>
      <c r="F19" s="14"/>
      <c r="G19" s="15" t="str">
        <f t="shared" si="0"/>
        <v/>
      </c>
      <c r="H19" s="30" t="str">
        <f t="shared" si="1"/>
        <v/>
      </c>
      <c r="K19" s="6"/>
    </row>
    <row r="20" spans="4:11" x14ac:dyDescent="0.25">
      <c r="D20" s="13" t="str">
        <f>IF(C20 = "","",C20-'Calcolo Trattenute'!$K$5)</f>
        <v/>
      </c>
      <c r="E20" s="14"/>
      <c r="F20" s="14"/>
      <c r="G20" s="15" t="str">
        <f t="shared" si="0"/>
        <v/>
      </c>
      <c r="H20" s="30" t="str">
        <f t="shared" si="1"/>
        <v/>
      </c>
      <c r="K20" s="6"/>
    </row>
    <row r="21" spans="4:11" x14ac:dyDescent="0.25">
      <c r="D21" s="13" t="str">
        <f>IF(C21 = "","",C21-'Calcolo Trattenute'!$K$5)</f>
        <v/>
      </c>
      <c r="E21" s="14"/>
      <c r="F21" s="14"/>
      <c r="G21" s="15" t="str">
        <f t="shared" si="0"/>
        <v/>
      </c>
      <c r="H21" s="30" t="str">
        <f t="shared" si="1"/>
        <v/>
      </c>
      <c r="K21" s="6"/>
    </row>
    <row r="22" spans="4:11" x14ac:dyDescent="0.25">
      <c r="D22" s="13" t="str">
        <f>IF(C22 = "","",C22-'Calcolo Trattenute'!$K$5)</f>
        <v/>
      </c>
      <c r="E22" s="14"/>
      <c r="F22" s="14"/>
      <c r="G22" s="15" t="str">
        <f t="shared" si="0"/>
        <v/>
      </c>
      <c r="H22" s="30" t="str">
        <f t="shared" si="1"/>
        <v/>
      </c>
      <c r="K22" s="6"/>
    </row>
    <row r="23" spans="4:11" x14ac:dyDescent="0.25">
      <c r="D23" s="13" t="str">
        <f>IF(C23 = "","",C23-'Calcolo Trattenute'!$K$5)</f>
        <v/>
      </c>
      <c r="E23" s="14"/>
      <c r="F23" s="14"/>
      <c r="G23" s="15" t="str">
        <f t="shared" si="0"/>
        <v/>
      </c>
      <c r="H23" s="30" t="str">
        <f t="shared" si="1"/>
        <v/>
      </c>
      <c r="K23" s="6"/>
    </row>
    <row r="24" spans="4:11" x14ac:dyDescent="0.25">
      <c r="D24" s="13" t="str">
        <f>IF(C24 = "","",C24-'Calcolo Trattenute'!$K$5)</f>
        <v/>
      </c>
      <c r="E24" s="14"/>
      <c r="F24" s="14"/>
      <c r="G24" s="15" t="str">
        <f t="shared" si="0"/>
        <v/>
      </c>
      <c r="H24" s="30" t="str">
        <f t="shared" si="1"/>
        <v/>
      </c>
      <c r="K24" s="6"/>
    </row>
    <row r="25" spans="4:11" x14ac:dyDescent="0.25">
      <c r="D25" s="13" t="str">
        <f>IF(C25 = "","",C25-'Calcolo Trattenute'!$K$5)</f>
        <v/>
      </c>
      <c r="E25" s="14"/>
      <c r="F25" s="14"/>
      <c r="G25" s="15" t="str">
        <f t="shared" si="0"/>
        <v/>
      </c>
      <c r="H25" s="30" t="str">
        <f t="shared" si="1"/>
        <v/>
      </c>
      <c r="K25" s="6"/>
    </row>
    <row r="26" spans="4:11" x14ac:dyDescent="0.25">
      <c r="D26" s="13" t="str">
        <f>IF(C26 = "","",C26-'Calcolo Trattenute'!$K$5)</f>
        <v/>
      </c>
      <c r="E26" s="14"/>
      <c r="F26" s="14"/>
      <c r="G26" s="15" t="str">
        <f t="shared" si="0"/>
        <v/>
      </c>
      <c r="H26" s="30" t="str">
        <f t="shared" si="1"/>
        <v/>
      </c>
      <c r="K26" s="6"/>
    </row>
    <row r="27" spans="4:11" x14ac:dyDescent="0.25">
      <c r="D27" s="13" t="str">
        <f>IF(C27 = "","",C27-'Calcolo Trattenute'!$K$5)</f>
        <v/>
      </c>
      <c r="E27" s="14"/>
      <c r="F27" s="14"/>
      <c r="G27" s="15" t="str">
        <f t="shared" si="0"/>
        <v/>
      </c>
      <c r="H27" s="30" t="str">
        <f t="shared" si="1"/>
        <v/>
      </c>
      <c r="K27" s="6"/>
    </row>
    <row r="28" spans="4:11" x14ac:dyDescent="0.25">
      <c r="D28" s="13" t="str">
        <f>IF(C28 = "","",C28-'Calcolo Trattenute'!$K$5)</f>
        <v/>
      </c>
      <c r="E28" s="14"/>
      <c r="F28" s="14"/>
      <c r="G28" s="15" t="str">
        <f t="shared" si="0"/>
        <v/>
      </c>
      <c r="H28" s="30" t="str">
        <f t="shared" si="1"/>
        <v/>
      </c>
      <c r="K28" s="6"/>
    </row>
    <row r="29" spans="4:11" x14ac:dyDescent="0.25">
      <c r="D29" s="13" t="str">
        <f>IF(C29 = "","",C29-'Calcolo Trattenute'!$K$5)</f>
        <v/>
      </c>
      <c r="E29" s="14"/>
      <c r="F29" s="14"/>
      <c r="G29" s="15" t="str">
        <f t="shared" si="0"/>
        <v/>
      </c>
      <c r="H29" s="30" t="str">
        <f t="shared" si="1"/>
        <v/>
      </c>
      <c r="K29" s="6"/>
    </row>
    <row r="30" spans="4:11" x14ac:dyDescent="0.25">
      <c r="D30" s="13" t="str">
        <f>IF(C30 = "","",C30-'Calcolo Trattenute'!$K$5)</f>
        <v/>
      </c>
      <c r="E30" s="14"/>
      <c r="F30" s="14"/>
      <c r="G30" s="15" t="str">
        <f t="shared" si="0"/>
        <v/>
      </c>
      <c r="H30" s="30" t="str">
        <f t="shared" si="1"/>
        <v/>
      </c>
      <c r="K30" s="6"/>
    </row>
    <row r="31" spans="4:11" x14ac:dyDescent="0.25">
      <c r="D31" s="13" t="str">
        <f>IF(C31 = "","",C31-'Calcolo Trattenute'!$K$5)</f>
        <v/>
      </c>
      <c r="E31" s="14"/>
      <c r="F31" s="14"/>
      <c r="G31" s="15" t="str">
        <f t="shared" si="0"/>
        <v/>
      </c>
      <c r="H31" s="30" t="str">
        <f t="shared" si="1"/>
        <v/>
      </c>
      <c r="K31" s="6"/>
    </row>
    <row r="32" spans="4:11" x14ac:dyDescent="0.25">
      <c r="D32" s="13" t="str">
        <f>IF(C32 = "","",C32-'Calcolo Trattenute'!$K$5)</f>
        <v/>
      </c>
      <c r="E32" s="14"/>
      <c r="F32" s="14"/>
      <c r="G32" s="15" t="str">
        <f t="shared" si="0"/>
        <v/>
      </c>
      <c r="H32" s="30" t="str">
        <f t="shared" si="1"/>
        <v/>
      </c>
      <c r="K32" s="6"/>
    </row>
    <row r="33" spans="4:11" x14ac:dyDescent="0.25">
      <c r="D33" s="13" t="str">
        <f>IF(C33 = "","",C33-'Calcolo Trattenute'!$K$5)</f>
        <v/>
      </c>
      <c r="E33" s="14"/>
      <c r="F33" s="14"/>
      <c r="G33" s="15" t="str">
        <f t="shared" si="0"/>
        <v/>
      </c>
      <c r="H33" s="30" t="str">
        <f t="shared" si="1"/>
        <v/>
      </c>
      <c r="K33" s="6"/>
    </row>
    <row r="34" spans="4:11" x14ac:dyDescent="0.25">
      <c r="D34" s="13" t="str">
        <f>IF(C34 = "","",C34-'Calcolo Trattenute'!$K$5)</f>
        <v/>
      </c>
      <c r="E34" s="14"/>
      <c r="F34" s="14"/>
      <c r="G34" s="15" t="str">
        <f t="shared" si="0"/>
        <v/>
      </c>
      <c r="H34" s="30" t="str">
        <f t="shared" si="1"/>
        <v/>
      </c>
      <c r="K34" s="6"/>
    </row>
    <row r="35" spans="4:11" x14ac:dyDescent="0.25">
      <c r="D35" s="13" t="str">
        <f>IF(C35 = "","",C35-'Calcolo Trattenute'!$K$5)</f>
        <v/>
      </c>
      <c r="E35" s="14"/>
      <c r="F35" s="14"/>
      <c r="G35" s="15" t="str">
        <f t="shared" si="0"/>
        <v/>
      </c>
      <c r="H35" s="30" t="str">
        <f t="shared" si="1"/>
        <v/>
      </c>
      <c r="K35" s="6"/>
    </row>
    <row r="36" spans="4:11" x14ac:dyDescent="0.25">
      <c r="D36" s="13" t="str">
        <f>IF(C36 = "","",C36-'Calcolo Trattenute'!$K$5)</f>
        <v/>
      </c>
      <c r="E36" s="14"/>
      <c r="F36" s="14"/>
      <c r="G36" s="15" t="str">
        <f t="shared" si="0"/>
        <v/>
      </c>
      <c r="H36" s="30" t="str">
        <f t="shared" si="1"/>
        <v/>
      </c>
      <c r="K36" s="6"/>
    </row>
    <row r="37" spans="4:11" x14ac:dyDescent="0.25">
      <c r="D37" s="13" t="str">
        <f>IF(C37 = "","",C37-'Calcolo Trattenute'!$K$5)</f>
        <v/>
      </c>
      <c r="E37" s="14"/>
      <c r="F37" s="14"/>
      <c r="G37" s="15" t="str">
        <f t="shared" si="0"/>
        <v/>
      </c>
      <c r="H37" s="30" t="str">
        <f t="shared" si="1"/>
        <v/>
      </c>
      <c r="K37" s="6"/>
    </row>
    <row r="38" spans="4:11" x14ac:dyDescent="0.25">
      <c r="D38" s="13" t="str">
        <f>IF(C38 = "","",C38-'Calcolo Trattenute'!$K$5)</f>
        <v/>
      </c>
      <c r="E38" s="14"/>
      <c r="F38" s="14"/>
      <c r="G38" s="15" t="str">
        <f t="shared" si="0"/>
        <v/>
      </c>
      <c r="H38" s="30" t="str">
        <f t="shared" si="1"/>
        <v/>
      </c>
      <c r="K38" s="6"/>
    </row>
    <row r="39" spans="4:11" x14ac:dyDescent="0.25">
      <c r="D39" s="13" t="str">
        <f>IF(C39 = "","",C39-'Calcolo Trattenute'!$K$5)</f>
        <v/>
      </c>
      <c r="E39" s="14"/>
      <c r="F39" s="14"/>
      <c r="G39" s="15" t="str">
        <f t="shared" si="0"/>
        <v/>
      </c>
      <c r="H39" s="30" t="str">
        <f t="shared" si="1"/>
        <v/>
      </c>
      <c r="K39" s="6"/>
    </row>
    <row r="40" spans="4:11" x14ac:dyDescent="0.25">
      <c r="D40" s="13" t="str">
        <f>IF(C40 = "","",C40-'Calcolo Trattenute'!$K$5)</f>
        <v/>
      </c>
      <c r="E40" s="14"/>
      <c r="F40" s="14"/>
      <c r="G40" s="15" t="str">
        <f t="shared" si="0"/>
        <v/>
      </c>
      <c r="H40" s="30" t="str">
        <f t="shared" si="1"/>
        <v/>
      </c>
      <c r="K40" s="6"/>
    </row>
    <row r="41" spans="4:11" x14ac:dyDescent="0.25">
      <c r="D41" s="13" t="str">
        <f>IF(C41 = "","",C41-'Calcolo Trattenute'!$K$5)</f>
        <v/>
      </c>
      <c r="E41" s="14"/>
      <c r="F41" s="14"/>
      <c r="G41" s="15" t="str">
        <f t="shared" si="0"/>
        <v/>
      </c>
      <c r="H41" s="30" t="str">
        <f t="shared" si="1"/>
        <v/>
      </c>
      <c r="K41" s="6"/>
    </row>
    <row r="42" spans="4:11" x14ac:dyDescent="0.25">
      <c r="D42" s="13" t="str">
        <f>IF(C42 = "","",C42-'Calcolo Trattenute'!$K$5)</f>
        <v/>
      </c>
      <c r="E42" s="14"/>
      <c r="F42" s="14"/>
      <c r="G42" s="15" t="str">
        <f t="shared" si="0"/>
        <v/>
      </c>
      <c r="H42" s="30" t="str">
        <f t="shared" si="1"/>
        <v/>
      </c>
      <c r="K42" s="6"/>
    </row>
    <row r="43" spans="4:11" x14ac:dyDescent="0.25">
      <c r="D43" s="13" t="str">
        <f>IF(C43 = "","",C43-'Calcolo Trattenute'!$K$5)</f>
        <v/>
      </c>
      <c r="E43" s="14"/>
      <c r="F43" s="14"/>
      <c r="G43" s="15" t="str">
        <f t="shared" si="0"/>
        <v/>
      </c>
      <c r="H43" s="30" t="str">
        <f t="shared" si="1"/>
        <v/>
      </c>
      <c r="K43" s="6"/>
    </row>
    <row r="44" spans="4:11" x14ac:dyDescent="0.25">
      <c r="D44" s="13" t="str">
        <f>IF(C44 = "","",C44-'Calcolo Trattenute'!$K$5)</f>
        <v/>
      </c>
      <c r="E44" s="14"/>
      <c r="F44" s="14"/>
      <c r="G44" s="15" t="str">
        <f t="shared" si="0"/>
        <v/>
      </c>
      <c r="H44" s="30" t="str">
        <f t="shared" si="1"/>
        <v/>
      </c>
      <c r="K44" s="6"/>
    </row>
    <row r="45" spans="4:11" x14ac:dyDescent="0.25">
      <c r="D45" s="13" t="str">
        <f>IF(C45 = "","",C45-'Calcolo Trattenute'!$K$5)</f>
        <v/>
      </c>
      <c r="E45" s="14"/>
      <c r="F45" s="14"/>
      <c r="G45" s="15" t="str">
        <f t="shared" si="0"/>
        <v/>
      </c>
      <c r="H45" s="30" t="str">
        <f t="shared" si="1"/>
        <v/>
      </c>
      <c r="K45" s="6"/>
    </row>
    <row r="46" spans="4:11" x14ac:dyDescent="0.25">
      <c r="D46" s="13" t="str">
        <f>IF(C46 = "","",C46-'Calcolo Trattenute'!$K$5)</f>
        <v/>
      </c>
      <c r="E46" s="14"/>
      <c r="F46" s="14"/>
      <c r="G46" s="15" t="str">
        <f t="shared" si="0"/>
        <v/>
      </c>
      <c r="H46" s="30" t="str">
        <f t="shared" si="1"/>
        <v/>
      </c>
      <c r="K46" s="6"/>
    </row>
    <row r="47" spans="4:11" x14ac:dyDescent="0.25">
      <c r="D47" s="13" t="str">
        <f>IF(C47 = "","",C47-'Calcolo Trattenute'!$K$5)</f>
        <v/>
      </c>
      <c r="E47" s="14"/>
      <c r="F47" s="14"/>
      <c r="G47" s="15" t="str">
        <f t="shared" si="0"/>
        <v/>
      </c>
      <c r="H47" s="30" t="str">
        <f t="shared" si="1"/>
        <v/>
      </c>
      <c r="K47" s="6"/>
    </row>
    <row r="48" spans="4:11" x14ac:dyDescent="0.25">
      <c r="D48" s="13" t="str">
        <f>IF(C48 = "","",C48-'Calcolo Trattenute'!$K$5)</f>
        <v/>
      </c>
      <c r="E48" s="14"/>
      <c r="F48" s="14"/>
      <c r="G48" s="15" t="str">
        <f t="shared" si="0"/>
        <v/>
      </c>
      <c r="H48" s="30" t="str">
        <f t="shared" si="1"/>
        <v/>
      </c>
      <c r="K48" s="6"/>
    </row>
    <row r="49" spans="4:11" x14ac:dyDescent="0.25">
      <c r="D49" s="13" t="str">
        <f>IF(C49 = "","",C49-'Calcolo Trattenute'!$K$5)</f>
        <v/>
      </c>
      <c r="E49" s="14"/>
      <c r="F49" s="14"/>
      <c r="G49" s="15" t="str">
        <f t="shared" si="0"/>
        <v/>
      </c>
      <c r="H49" s="30" t="str">
        <f t="shared" si="1"/>
        <v/>
      </c>
      <c r="K49" s="6"/>
    </row>
    <row r="50" spans="4:11" x14ac:dyDescent="0.25">
      <c r="D50" s="13" t="str">
        <f>IF(C50 = "","",C50-'Calcolo Trattenute'!$K$5)</f>
        <v/>
      </c>
      <c r="E50" s="14"/>
      <c r="F50" s="14"/>
      <c r="G50" s="15" t="str">
        <f t="shared" si="0"/>
        <v/>
      </c>
      <c r="H50" s="30" t="str">
        <f t="shared" si="1"/>
        <v/>
      </c>
      <c r="K50" s="6"/>
    </row>
    <row r="51" spans="4:11" x14ac:dyDescent="0.25">
      <c r="D51" s="13" t="str">
        <f>IF(C51 = "","",C51-'Calcolo Trattenute'!$K$5)</f>
        <v/>
      </c>
      <c r="E51" s="14"/>
      <c r="F51" s="14"/>
      <c r="G51" s="15" t="str">
        <f t="shared" si="0"/>
        <v/>
      </c>
      <c r="H51" s="30" t="str">
        <f t="shared" si="1"/>
        <v/>
      </c>
      <c r="K51" s="6"/>
    </row>
    <row r="52" spans="4:11" x14ac:dyDescent="0.25">
      <c r="D52" s="13" t="str">
        <f>IF(C52 = "","",C52-'Calcolo Trattenute'!$K$5)</f>
        <v/>
      </c>
      <c r="E52" s="14"/>
      <c r="F52" s="14"/>
      <c r="G52" s="15" t="str">
        <f t="shared" si="0"/>
        <v/>
      </c>
      <c r="H52" s="30" t="str">
        <f t="shared" si="1"/>
        <v/>
      </c>
      <c r="K52" s="6"/>
    </row>
    <row r="53" spans="4:11" x14ac:dyDescent="0.25">
      <c r="D53" s="13" t="str">
        <f>IF(C53 = "","",C53-'Calcolo Trattenute'!$K$5)</f>
        <v/>
      </c>
      <c r="E53" s="14"/>
      <c r="F53" s="14"/>
      <c r="G53" s="15" t="str">
        <f t="shared" si="0"/>
        <v/>
      </c>
      <c r="H53" s="30" t="str">
        <f t="shared" si="1"/>
        <v/>
      </c>
      <c r="K53" s="6"/>
    </row>
    <row r="54" spans="4:11" x14ac:dyDescent="0.25">
      <c r="D54" s="13" t="str">
        <f>IF(C54 = "","",C54-'Calcolo Trattenute'!$K$5)</f>
        <v/>
      </c>
      <c r="E54" s="14"/>
      <c r="F54" s="14"/>
      <c r="G54" s="15" t="str">
        <f t="shared" si="0"/>
        <v/>
      </c>
      <c r="H54" s="30" t="str">
        <f t="shared" si="1"/>
        <v/>
      </c>
      <c r="K54" s="6"/>
    </row>
    <row r="55" spans="4:11" x14ac:dyDescent="0.25">
      <c r="D55" s="13" t="str">
        <f>IF(C55 = "","",C55-'Calcolo Trattenute'!$K$5)</f>
        <v/>
      </c>
      <c r="E55" s="14"/>
      <c r="F55" s="14"/>
      <c r="G55" s="15" t="str">
        <f t="shared" si="0"/>
        <v/>
      </c>
      <c r="H55" s="30" t="str">
        <f t="shared" si="1"/>
        <v/>
      </c>
      <c r="K55" s="6"/>
    </row>
    <row r="56" spans="4:11" x14ac:dyDescent="0.25">
      <c r="D56" s="13" t="str">
        <f>IF(C56 = "","",C56-'Calcolo Trattenute'!$K$5)</f>
        <v/>
      </c>
      <c r="E56" s="14"/>
      <c r="F56" s="14"/>
      <c r="G56" s="15" t="str">
        <f t="shared" si="0"/>
        <v/>
      </c>
      <c r="H56" s="30" t="str">
        <f t="shared" si="1"/>
        <v/>
      </c>
      <c r="K56" s="6"/>
    </row>
    <row r="57" spans="4:11" x14ac:dyDescent="0.25">
      <c r="D57" s="13" t="str">
        <f>IF(C57 = "","",C57-'Calcolo Trattenute'!$K$5)</f>
        <v/>
      </c>
      <c r="E57" s="14"/>
      <c r="F57" s="14"/>
      <c r="G57" s="15" t="str">
        <f t="shared" si="0"/>
        <v/>
      </c>
      <c r="H57" s="30" t="str">
        <f t="shared" si="1"/>
        <v/>
      </c>
      <c r="K57" s="6"/>
    </row>
    <row r="58" spans="4:11" x14ac:dyDescent="0.25">
      <c r="D58" s="13" t="str">
        <f>IF(C58 = "","",C58-'Calcolo Trattenute'!$K$5)</f>
        <v/>
      </c>
      <c r="E58" s="14"/>
      <c r="F58" s="14"/>
      <c r="G58" s="15" t="str">
        <f t="shared" si="0"/>
        <v/>
      </c>
      <c r="H58" s="30" t="str">
        <f t="shared" si="1"/>
        <v/>
      </c>
      <c r="K58" s="6"/>
    </row>
    <row r="59" spans="4:11" x14ac:dyDescent="0.25">
      <c r="D59" s="13" t="str">
        <f>IF(C59 = "","",C59-'Calcolo Trattenute'!$K$5)</f>
        <v/>
      </c>
      <c r="E59" s="14"/>
      <c r="F59" s="14"/>
      <c r="G59" s="15" t="str">
        <f t="shared" si="0"/>
        <v/>
      </c>
      <c r="H59" s="30" t="str">
        <f t="shared" si="1"/>
        <v/>
      </c>
      <c r="K59" s="6"/>
    </row>
    <row r="60" spans="4:11" x14ac:dyDescent="0.25">
      <c r="D60" s="13" t="str">
        <f>IF(C60 = "","",C60-'Calcolo Trattenute'!$K$5)</f>
        <v/>
      </c>
      <c r="E60" s="14"/>
      <c r="F60" s="14"/>
      <c r="G60" s="15" t="str">
        <f t="shared" si="0"/>
        <v/>
      </c>
      <c r="H60" s="30" t="str">
        <f t="shared" si="1"/>
        <v/>
      </c>
      <c r="K60" s="6"/>
    </row>
    <row r="61" spans="4:11" x14ac:dyDescent="0.25">
      <c r="D61" s="13" t="str">
        <f>IF(C61 = "","",C61-'Calcolo Trattenute'!$K$5)</f>
        <v/>
      </c>
      <c r="E61" s="14"/>
      <c r="F61" s="14"/>
      <c r="G61" s="15" t="str">
        <f t="shared" si="0"/>
        <v/>
      </c>
      <c r="H61" s="30" t="str">
        <f t="shared" si="1"/>
        <v/>
      </c>
      <c r="K61" s="6"/>
    </row>
    <row r="62" spans="4:11" x14ac:dyDescent="0.25">
      <c r="D62" s="13" t="str">
        <f>IF(C62 = "","",C62-'Calcolo Trattenute'!$K$5)</f>
        <v/>
      </c>
      <c r="E62" s="14"/>
      <c r="F62" s="14"/>
      <c r="G62" s="15" t="str">
        <f t="shared" si="0"/>
        <v/>
      </c>
      <c r="H62" s="30" t="str">
        <f t="shared" si="1"/>
        <v/>
      </c>
      <c r="K62" s="6"/>
    </row>
    <row r="63" spans="4:11" x14ac:dyDescent="0.25">
      <c r="D63" s="13" t="str">
        <f>IF(C63 = "","",C63-'Calcolo Trattenute'!$K$5)</f>
        <v/>
      </c>
      <c r="E63" s="14"/>
      <c r="F63" s="14"/>
      <c r="G63" s="15" t="str">
        <f t="shared" si="0"/>
        <v/>
      </c>
      <c r="H63" s="30" t="str">
        <f t="shared" si="1"/>
        <v/>
      </c>
      <c r="K63" s="6"/>
    </row>
    <row r="64" spans="4:11" x14ac:dyDescent="0.25">
      <c r="D64" s="13" t="str">
        <f>IF(C64 = "","",C64-'Calcolo Trattenute'!$K$5)</f>
        <v/>
      </c>
      <c r="E64" s="14"/>
      <c r="F64" s="14"/>
      <c r="G64" s="15" t="str">
        <f t="shared" si="0"/>
        <v/>
      </c>
      <c r="H64" s="30" t="str">
        <f t="shared" si="1"/>
        <v/>
      </c>
      <c r="K64" s="6"/>
    </row>
    <row r="65" spans="1:11" x14ac:dyDescent="0.25">
      <c r="D65" s="13" t="str">
        <f>IF(C65 = "","",C65-'Calcolo Trattenute'!$K$5)</f>
        <v/>
      </c>
      <c r="E65" s="14"/>
      <c r="F65" s="14"/>
      <c r="G65" s="15" t="str">
        <f t="shared" si="0"/>
        <v/>
      </c>
      <c r="H65" s="30" t="str">
        <f t="shared" si="1"/>
        <v/>
      </c>
      <c r="K65" s="6"/>
    </row>
    <row r="66" spans="1:11" x14ac:dyDescent="0.25">
      <c r="D66" s="13" t="str">
        <f>IF(C66 = "","",C66-'Calcolo Trattenute'!$K$5)</f>
        <v/>
      </c>
      <c r="E66" s="14"/>
      <c r="F66" s="14"/>
      <c r="G66" s="15" t="str">
        <f t="shared" si="0"/>
        <v/>
      </c>
      <c r="H66" s="30" t="str">
        <f t="shared" si="1"/>
        <v/>
      </c>
      <c r="K66" s="6"/>
    </row>
    <row r="67" spans="1:11" x14ac:dyDescent="0.25">
      <c r="D67" s="13" t="str">
        <f>IF(C67 = "","",C67-'Calcolo Trattenute'!$K$5)</f>
        <v/>
      </c>
      <c r="E67" s="14"/>
      <c r="F67" s="14"/>
      <c r="G67" s="15" t="str">
        <f t="shared" si="0"/>
        <v/>
      </c>
      <c r="H67" s="30" t="str">
        <f t="shared" si="1"/>
        <v/>
      </c>
      <c r="K67" s="6"/>
    </row>
    <row r="68" spans="1:11" x14ac:dyDescent="0.25">
      <c r="A68" s="28"/>
      <c r="B68" s="28"/>
      <c r="C68" s="29"/>
      <c r="D68" s="29" t="str">
        <f>IF(C68 = "","",C68-'Calcolo Trattenute'!$K$5)</f>
        <v/>
      </c>
      <c r="E68" s="39"/>
      <c r="F68" s="39"/>
      <c r="G68" s="29" t="str">
        <f t="shared" si="0"/>
        <v/>
      </c>
      <c r="H68" s="34" t="str">
        <f t="shared" si="1"/>
        <v/>
      </c>
      <c r="K68" s="6"/>
    </row>
  </sheetData>
  <sheetProtection algorithmName="SHA-512" hashValue="qnOcbnyMaFurJ6PZlPTVTSL0ZLejARKwEmLbyFi4EDyAzWxf3bmiw9/6AXzrLyG66E4RezDc7QcOuwJiblO5EQ==" saltValue="3w4tbhaUEcLqSjxfb6zvQA==" spinCount="100000" sheet="1" objects="1" scenarios="1"/>
  <protectedRanges>
    <protectedRange sqref="A5:B5 A8:C68 E8:F68" name="Intervallo1"/>
  </protectedRanges>
  <dataValidations disablePrompts="1" count="1">
    <dataValidation type="list" allowBlank="1" showInputMessage="1" showErrorMessage="1" sqref="A5:B5" xr:uid="{298FD304-811F-4426-BE78-D9532ED65E00}">
      <formula1>"SI,NO"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8268F-8D6C-45FD-B88C-112D6FCB5B48}">
  <sheetPr codeName="Foglio2"/>
  <dimension ref="A1:K39"/>
  <sheetViews>
    <sheetView workbookViewId="0">
      <selection activeCell="N21" sqref="N21"/>
    </sheetView>
  </sheetViews>
  <sheetFormatPr defaultRowHeight="15" x14ac:dyDescent="0.25"/>
  <cols>
    <col min="1" max="1" width="21" style="4" bestFit="1" customWidth="1"/>
    <col min="2" max="2" width="15.7109375" customWidth="1"/>
    <col min="3" max="3" width="18.140625" style="5" bestFit="1" customWidth="1"/>
    <col min="6" max="6" width="14.85546875" hidden="1" customWidth="1"/>
    <col min="7" max="7" width="13.85546875" hidden="1" customWidth="1"/>
    <col min="8" max="8" width="22.28515625" hidden="1" customWidth="1"/>
    <col min="9" max="9" width="27" hidden="1" customWidth="1"/>
    <col min="10" max="10" width="26" hidden="1" customWidth="1"/>
    <col min="11" max="11" width="27" hidden="1" customWidth="1"/>
  </cols>
  <sheetData>
    <row r="1" spans="1:11" ht="15.75" customHeight="1" x14ac:dyDescent="0.25">
      <c r="A1" s="12"/>
      <c r="B1" s="13"/>
      <c r="C1" s="13"/>
      <c r="D1" s="15"/>
      <c r="E1" s="15"/>
    </row>
    <row r="2" spans="1:11" s="27" customFormat="1" ht="15.75" customHeight="1" thickBot="1" x14ac:dyDescent="0.3">
      <c r="A2" s="24" t="s">
        <v>54</v>
      </c>
      <c r="B2" s="25"/>
      <c r="C2" s="25"/>
      <c r="D2" s="26"/>
      <c r="E2" s="26"/>
    </row>
    <row r="3" spans="1:11" ht="15.75" customHeight="1" x14ac:dyDescent="0.25">
      <c r="A3" s="12"/>
      <c r="B3" s="13"/>
      <c r="C3" s="13"/>
      <c r="D3" s="15"/>
      <c r="E3" s="15"/>
    </row>
    <row r="4" spans="1:11" ht="18" thickBot="1" x14ac:dyDescent="0.35">
      <c r="A4" s="2" t="s">
        <v>4</v>
      </c>
      <c r="B4" s="2" t="s">
        <v>5</v>
      </c>
      <c r="C4" s="2" t="s">
        <v>1</v>
      </c>
      <c r="F4" s="6" t="s">
        <v>15</v>
      </c>
      <c r="G4" s="6" t="s">
        <v>16</v>
      </c>
      <c r="H4" s="6" t="s">
        <v>17</v>
      </c>
      <c r="I4" s="6" t="s">
        <v>50</v>
      </c>
      <c r="J4" s="6" t="s">
        <v>51</v>
      </c>
      <c r="K4" s="6" t="s">
        <v>52</v>
      </c>
    </row>
    <row r="5" spans="1:11" x14ac:dyDescent="0.25">
      <c r="A5" s="3" t="s">
        <v>6</v>
      </c>
      <c r="B5" t="s">
        <v>13</v>
      </c>
      <c r="C5" s="20">
        <v>225</v>
      </c>
      <c r="F5" s="31"/>
      <c r="G5">
        <f>IF(B5 = "MENSILE",1,IF(B5 = "","",0))</f>
        <v>1</v>
      </c>
      <c r="H5">
        <f t="shared" ref="H5:H39" si="0">IF(G5 = 1,C5,IF(G5=0,C5/12,""))</f>
        <v>225</v>
      </c>
      <c r="I5" s="11">
        <f>SUM(H$5:H$1048576)</f>
        <v>486.18083333333334</v>
      </c>
      <c r="J5">
        <f>I5*12</f>
        <v>5834.17</v>
      </c>
      <c r="K5" s="23">
        <f>J5/'Calcolo risparmi'!L5</f>
        <v>448.78230769230771</v>
      </c>
    </row>
    <row r="6" spans="1:11" x14ac:dyDescent="0.25">
      <c r="A6" s="4" t="s">
        <v>7</v>
      </c>
      <c r="B6" t="s">
        <v>13</v>
      </c>
      <c r="C6" s="21">
        <v>150</v>
      </c>
      <c r="F6" s="31"/>
      <c r="G6">
        <f t="shared" ref="G6:G39" si="1">IF(B6 = "MENSILE",1,IF(B6 = "","",0))</f>
        <v>1</v>
      </c>
      <c r="H6">
        <f t="shared" si="0"/>
        <v>150</v>
      </c>
    </row>
    <row r="7" spans="1:11" x14ac:dyDescent="0.25">
      <c r="A7" s="4" t="s">
        <v>8</v>
      </c>
      <c r="B7" t="s">
        <v>13</v>
      </c>
      <c r="C7" s="21">
        <v>3.5</v>
      </c>
      <c r="F7" s="31"/>
      <c r="G7">
        <f t="shared" si="1"/>
        <v>1</v>
      </c>
      <c r="H7">
        <f t="shared" si="0"/>
        <v>3.5</v>
      </c>
    </row>
    <row r="8" spans="1:11" x14ac:dyDescent="0.25">
      <c r="A8" s="4" t="s">
        <v>9</v>
      </c>
      <c r="B8" t="s">
        <v>13</v>
      </c>
      <c r="C8" s="21">
        <v>0.99</v>
      </c>
      <c r="F8" s="31"/>
      <c r="G8">
        <f t="shared" si="1"/>
        <v>1</v>
      </c>
      <c r="H8">
        <f t="shared" si="0"/>
        <v>0.99</v>
      </c>
    </row>
    <row r="9" spans="1:11" x14ac:dyDescent="0.25">
      <c r="A9" s="4" t="s">
        <v>10</v>
      </c>
      <c r="B9" t="s">
        <v>13</v>
      </c>
      <c r="C9" s="21">
        <v>12.67</v>
      </c>
      <c r="F9" s="31"/>
      <c r="G9">
        <f t="shared" si="1"/>
        <v>1</v>
      </c>
      <c r="H9">
        <f t="shared" si="0"/>
        <v>12.67</v>
      </c>
    </row>
    <row r="10" spans="1:11" x14ac:dyDescent="0.25">
      <c r="A10" s="4" t="s">
        <v>11</v>
      </c>
      <c r="B10" t="s">
        <v>14</v>
      </c>
      <c r="C10" s="21">
        <v>925</v>
      </c>
      <c r="F10" s="31"/>
      <c r="G10">
        <f t="shared" si="1"/>
        <v>0</v>
      </c>
      <c r="H10" s="7">
        <f t="shared" si="0"/>
        <v>77.083333333333329</v>
      </c>
    </row>
    <row r="11" spans="1:11" x14ac:dyDescent="0.25">
      <c r="A11" s="4" t="s">
        <v>12</v>
      </c>
      <c r="B11" t="s">
        <v>14</v>
      </c>
      <c r="C11" s="21">
        <v>203.25</v>
      </c>
      <c r="F11" s="31"/>
      <c r="G11">
        <f t="shared" si="1"/>
        <v>0</v>
      </c>
      <c r="H11" s="7">
        <f t="shared" si="0"/>
        <v>16.9375</v>
      </c>
    </row>
    <row r="12" spans="1:11" x14ac:dyDescent="0.25">
      <c r="C12" s="21"/>
      <c r="F12" s="31"/>
      <c r="G12" t="str">
        <f t="shared" si="1"/>
        <v/>
      </c>
      <c r="H12" t="str">
        <f t="shared" si="0"/>
        <v/>
      </c>
    </row>
    <row r="13" spans="1:11" x14ac:dyDescent="0.25">
      <c r="C13" s="21"/>
      <c r="F13" s="31"/>
      <c r="G13" t="str">
        <f t="shared" si="1"/>
        <v/>
      </c>
      <c r="H13" t="str">
        <f t="shared" si="0"/>
        <v/>
      </c>
    </row>
    <row r="14" spans="1:11" x14ac:dyDescent="0.25">
      <c r="C14" s="21"/>
      <c r="F14" s="31"/>
      <c r="G14" t="str">
        <f t="shared" si="1"/>
        <v/>
      </c>
      <c r="H14" t="str">
        <f t="shared" si="0"/>
        <v/>
      </c>
    </row>
    <row r="15" spans="1:11" x14ac:dyDescent="0.25">
      <c r="C15" s="21"/>
      <c r="F15" s="31"/>
      <c r="G15" t="str">
        <f t="shared" si="1"/>
        <v/>
      </c>
      <c r="H15" t="str">
        <f t="shared" si="0"/>
        <v/>
      </c>
    </row>
    <row r="16" spans="1:11" x14ac:dyDescent="0.25">
      <c r="C16" s="21"/>
      <c r="F16" s="31"/>
      <c r="G16" t="str">
        <f t="shared" si="1"/>
        <v/>
      </c>
      <c r="H16" t="str">
        <f t="shared" si="0"/>
        <v/>
      </c>
    </row>
    <row r="17" spans="3:8" x14ac:dyDescent="0.25">
      <c r="C17" s="21"/>
      <c r="F17" s="31"/>
      <c r="G17" t="str">
        <f t="shared" si="1"/>
        <v/>
      </c>
      <c r="H17" t="str">
        <f t="shared" si="0"/>
        <v/>
      </c>
    </row>
    <row r="18" spans="3:8" x14ac:dyDescent="0.25">
      <c r="C18" s="21"/>
      <c r="F18" s="31"/>
      <c r="G18" t="str">
        <f t="shared" si="1"/>
        <v/>
      </c>
      <c r="H18" t="str">
        <f t="shared" si="0"/>
        <v/>
      </c>
    </row>
    <row r="19" spans="3:8" x14ac:dyDescent="0.25">
      <c r="C19" s="21"/>
      <c r="F19" s="31"/>
      <c r="G19" t="str">
        <f t="shared" si="1"/>
        <v/>
      </c>
      <c r="H19" t="str">
        <f t="shared" si="0"/>
        <v/>
      </c>
    </row>
    <row r="20" spans="3:8" x14ac:dyDescent="0.25">
      <c r="C20" s="21"/>
      <c r="F20" s="31"/>
      <c r="G20" t="str">
        <f t="shared" si="1"/>
        <v/>
      </c>
      <c r="H20" t="str">
        <f t="shared" si="0"/>
        <v/>
      </c>
    </row>
    <row r="21" spans="3:8" x14ac:dyDescent="0.25">
      <c r="C21" s="21"/>
      <c r="F21" s="31"/>
      <c r="G21" t="str">
        <f t="shared" si="1"/>
        <v/>
      </c>
      <c r="H21" t="str">
        <f t="shared" si="0"/>
        <v/>
      </c>
    </row>
    <row r="22" spans="3:8" x14ac:dyDescent="0.25">
      <c r="C22" s="21"/>
      <c r="F22" s="31"/>
      <c r="G22" t="str">
        <f t="shared" si="1"/>
        <v/>
      </c>
      <c r="H22" t="str">
        <f t="shared" si="0"/>
        <v/>
      </c>
    </row>
    <row r="23" spans="3:8" x14ac:dyDescent="0.25">
      <c r="C23" s="21"/>
      <c r="F23" s="31"/>
      <c r="G23" t="str">
        <f t="shared" si="1"/>
        <v/>
      </c>
      <c r="H23" t="str">
        <f t="shared" si="0"/>
        <v/>
      </c>
    </row>
    <row r="24" spans="3:8" x14ac:dyDescent="0.25">
      <c r="C24" s="21"/>
      <c r="F24" s="31"/>
      <c r="G24" t="str">
        <f t="shared" si="1"/>
        <v/>
      </c>
      <c r="H24" t="str">
        <f t="shared" si="0"/>
        <v/>
      </c>
    </row>
    <row r="25" spans="3:8" x14ac:dyDescent="0.25">
      <c r="C25" s="21"/>
      <c r="F25" s="31"/>
      <c r="G25" t="str">
        <f t="shared" si="1"/>
        <v/>
      </c>
      <c r="H25" t="str">
        <f t="shared" si="0"/>
        <v/>
      </c>
    </row>
    <row r="26" spans="3:8" x14ac:dyDescent="0.25">
      <c r="C26" s="21"/>
      <c r="F26" s="31"/>
      <c r="G26" t="str">
        <f t="shared" si="1"/>
        <v/>
      </c>
      <c r="H26" t="str">
        <f t="shared" si="0"/>
        <v/>
      </c>
    </row>
    <row r="27" spans="3:8" x14ac:dyDescent="0.25">
      <c r="C27" s="21"/>
      <c r="F27" s="31"/>
      <c r="G27" t="str">
        <f t="shared" si="1"/>
        <v/>
      </c>
      <c r="H27" t="str">
        <f t="shared" si="0"/>
        <v/>
      </c>
    </row>
    <row r="28" spans="3:8" x14ac:dyDescent="0.25">
      <c r="C28" s="21"/>
      <c r="F28" s="31"/>
      <c r="G28" t="str">
        <f t="shared" si="1"/>
        <v/>
      </c>
      <c r="H28" t="str">
        <f t="shared" si="0"/>
        <v/>
      </c>
    </row>
    <row r="29" spans="3:8" x14ac:dyDescent="0.25">
      <c r="C29" s="21"/>
      <c r="F29" s="31"/>
      <c r="G29" t="str">
        <f t="shared" si="1"/>
        <v/>
      </c>
      <c r="H29" t="str">
        <f t="shared" si="0"/>
        <v/>
      </c>
    </row>
    <row r="30" spans="3:8" x14ac:dyDescent="0.25">
      <c r="C30" s="21"/>
      <c r="F30" s="31"/>
      <c r="G30" t="str">
        <f t="shared" si="1"/>
        <v/>
      </c>
      <c r="H30" t="str">
        <f t="shared" si="0"/>
        <v/>
      </c>
    </row>
    <row r="31" spans="3:8" x14ac:dyDescent="0.25">
      <c r="C31" s="21"/>
      <c r="F31" s="31"/>
      <c r="G31" t="str">
        <f t="shared" si="1"/>
        <v/>
      </c>
      <c r="H31" t="str">
        <f t="shared" si="0"/>
        <v/>
      </c>
    </row>
    <row r="32" spans="3:8" x14ac:dyDescent="0.25">
      <c r="C32" s="21"/>
      <c r="F32" s="31"/>
      <c r="G32" t="str">
        <f t="shared" si="1"/>
        <v/>
      </c>
      <c r="H32" t="str">
        <f t="shared" si="0"/>
        <v/>
      </c>
    </row>
    <row r="33" spans="1:8" x14ac:dyDescent="0.25">
      <c r="C33" s="21"/>
      <c r="F33" s="31"/>
      <c r="G33" t="str">
        <f t="shared" si="1"/>
        <v/>
      </c>
      <c r="H33" t="str">
        <f t="shared" si="0"/>
        <v/>
      </c>
    </row>
    <row r="34" spans="1:8" x14ac:dyDescent="0.25">
      <c r="C34" s="21"/>
      <c r="F34" s="31"/>
      <c r="G34" t="str">
        <f t="shared" si="1"/>
        <v/>
      </c>
      <c r="H34" t="str">
        <f t="shared" si="0"/>
        <v/>
      </c>
    </row>
    <row r="35" spans="1:8" x14ac:dyDescent="0.25">
      <c r="C35" s="21"/>
      <c r="F35" s="31"/>
      <c r="G35" t="str">
        <f t="shared" si="1"/>
        <v/>
      </c>
      <c r="H35" t="str">
        <f t="shared" si="0"/>
        <v/>
      </c>
    </row>
    <row r="36" spans="1:8" x14ac:dyDescent="0.25">
      <c r="C36" s="21"/>
      <c r="F36" s="31"/>
      <c r="G36" t="str">
        <f t="shared" si="1"/>
        <v/>
      </c>
      <c r="H36" t="str">
        <f t="shared" si="0"/>
        <v/>
      </c>
    </row>
    <row r="37" spans="1:8" x14ac:dyDescent="0.25">
      <c r="C37" s="21"/>
      <c r="F37" s="31"/>
      <c r="G37" t="str">
        <f t="shared" si="1"/>
        <v/>
      </c>
      <c r="H37" t="str">
        <f t="shared" si="0"/>
        <v/>
      </c>
    </row>
    <row r="38" spans="1:8" x14ac:dyDescent="0.25">
      <c r="C38" s="21"/>
      <c r="F38" s="31"/>
      <c r="G38" t="str">
        <f t="shared" si="1"/>
        <v/>
      </c>
      <c r="H38" t="str">
        <f t="shared" si="0"/>
        <v/>
      </c>
    </row>
    <row r="39" spans="1:8" x14ac:dyDescent="0.25">
      <c r="A39" s="17"/>
      <c r="B39" s="18"/>
      <c r="C39" s="19"/>
      <c r="D39" s="32"/>
      <c r="F39" s="31"/>
      <c r="G39" t="str">
        <f t="shared" si="1"/>
        <v/>
      </c>
      <c r="H39" t="str">
        <f t="shared" si="0"/>
        <v/>
      </c>
    </row>
  </sheetData>
  <sheetProtection algorithmName="SHA-512" hashValue="36yUSc5P/sMOOV7jEXQeTqf96GcyuRvd171QqGt8tQjoO7Lc1BBtexT3hgUwvUIg2ppK4NpnLdNazY+xfGoI+g==" saltValue="FQmITkcoysFkcfGL5HeQsg==" spinCount="100000" sheet="1" objects="1" scenarios="1"/>
  <protectedRanges>
    <protectedRange sqref="A5:C39" name="Intervallo1"/>
  </protectedRanges>
  <dataConsolidate/>
  <dataValidations count="1">
    <dataValidation type="list" showInputMessage="1" showErrorMessage="1" sqref="B5:B1048576" xr:uid="{DE63470D-6E49-41D5-B421-14B6418CE86E}">
      <formula1>"MENSILE,ANNUALE"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AD457-5D22-4A65-A0F6-119FE20C3812}">
  <sheetPr codeName="Foglio3"/>
  <dimension ref="A2:K44"/>
  <sheetViews>
    <sheetView tabSelected="1" topLeftCell="A3" zoomScaleNormal="100" workbookViewId="0">
      <selection activeCell="E24" sqref="E24"/>
    </sheetView>
  </sheetViews>
  <sheetFormatPr defaultRowHeight="15" x14ac:dyDescent="0.25"/>
  <cols>
    <col min="1" max="1" width="28.28515625" style="12" bestFit="1" customWidth="1"/>
    <col min="2" max="2" width="28.28515625" style="13" bestFit="1" customWidth="1"/>
    <col min="3" max="5" width="28.28515625" style="13" customWidth="1"/>
    <col min="6" max="7" width="15.7109375" style="15" customWidth="1"/>
    <col min="8" max="8" width="12.28515625" bestFit="1" customWidth="1"/>
    <col min="9" max="9" width="25.7109375" customWidth="1"/>
    <col min="10" max="11" width="20.7109375" customWidth="1"/>
  </cols>
  <sheetData>
    <row r="2" spans="1:11" s="27" customFormat="1" ht="24.75" thickBot="1" x14ac:dyDescent="0.3">
      <c r="A2" s="24" t="s">
        <v>49</v>
      </c>
      <c r="B2" s="25"/>
      <c r="C2" s="25"/>
      <c r="D2" s="25"/>
      <c r="E2" s="25"/>
      <c r="F2" s="26"/>
      <c r="G2" s="26"/>
    </row>
    <row r="4" spans="1:11" ht="18" thickBot="1" x14ac:dyDescent="0.35">
      <c r="A4" s="10" t="s">
        <v>18</v>
      </c>
      <c r="B4" s="10" t="s">
        <v>19</v>
      </c>
      <c r="C4"/>
      <c r="D4"/>
      <c r="E4"/>
    </row>
    <row r="5" spans="1:11" ht="17.25" x14ac:dyDescent="0.3">
      <c r="A5" t="s">
        <v>20</v>
      </c>
      <c r="B5" t="s">
        <v>21</v>
      </c>
      <c r="C5"/>
      <c r="D5"/>
      <c r="E5"/>
      <c r="F5" s="37"/>
    </row>
    <row r="6" spans="1:11" x14ac:dyDescent="0.25">
      <c r="A6"/>
      <c r="B6"/>
      <c r="C6"/>
      <c r="D6"/>
      <c r="E6"/>
      <c r="F6"/>
      <c r="G6"/>
    </row>
    <row r="7" spans="1:11" ht="18" thickBot="1" x14ac:dyDescent="0.35">
      <c r="A7" s="1" t="s">
        <v>0</v>
      </c>
      <c r="B7" s="1" t="s">
        <v>27</v>
      </c>
      <c r="C7" s="1" t="s">
        <v>28</v>
      </c>
      <c r="D7" s="33" t="s">
        <v>23</v>
      </c>
      <c r="E7" s="33" t="s">
        <v>24</v>
      </c>
      <c r="F7" s="10" t="s">
        <v>2</v>
      </c>
      <c r="G7" s="10" t="s">
        <v>3</v>
      </c>
      <c r="I7" s="2" t="s">
        <v>4</v>
      </c>
      <c r="J7" s="2" t="s">
        <v>5</v>
      </c>
      <c r="K7" s="2" t="s">
        <v>1</v>
      </c>
    </row>
    <row r="8" spans="1:11" ht="15.75" thickTop="1" x14ac:dyDescent="0.25">
      <c r="A8" s="12" t="s">
        <v>38</v>
      </c>
      <c r="B8" s="13">
        <v>1600</v>
      </c>
      <c r="C8" s="13">
        <f>IF(B8 = "","",B8-'Calcoli per previsioni'!$F$5)</f>
        <v>1151.2176923076922</v>
      </c>
      <c r="D8" s="14">
        <v>0.7</v>
      </c>
      <c r="E8" s="14">
        <v>0.30000000000000004</v>
      </c>
      <c r="F8" s="38">
        <f>IF(C8 = "","",C8*D8)</f>
        <v>805.85238461538449</v>
      </c>
      <c r="G8" s="30">
        <f>IF(C8 = "", "", C8*E8)</f>
        <v>345.36530769230774</v>
      </c>
      <c r="I8" s="40" t="s">
        <v>6</v>
      </c>
      <c r="J8" t="s">
        <v>13</v>
      </c>
      <c r="K8" s="20">
        <v>225</v>
      </c>
    </row>
    <row r="9" spans="1:11" x14ac:dyDescent="0.25">
      <c r="A9" s="12" t="s">
        <v>39</v>
      </c>
      <c r="B9" s="13">
        <v>1600</v>
      </c>
      <c r="C9" s="13">
        <f>IF(B9 = "","",B9-'Calcoli per previsioni'!$F$5)</f>
        <v>1151.2176923076922</v>
      </c>
      <c r="D9" s="14">
        <v>0.7</v>
      </c>
      <c r="E9" s="14">
        <v>0.30000000000000004</v>
      </c>
      <c r="F9" s="38">
        <f t="shared" ref="F9:F21" si="0">IF(C9 = "","",C9*D9)</f>
        <v>805.85238461538449</v>
      </c>
      <c r="G9" s="30">
        <f t="shared" ref="G9:G21" si="1">IF(C9 = "", "", C9*E9)</f>
        <v>345.36530769230774</v>
      </c>
      <c r="I9" s="41" t="s">
        <v>7</v>
      </c>
      <c r="J9" t="s">
        <v>13</v>
      </c>
      <c r="K9" s="21">
        <v>150</v>
      </c>
    </row>
    <row r="10" spans="1:11" x14ac:dyDescent="0.25">
      <c r="A10" s="12" t="s">
        <v>40</v>
      </c>
      <c r="B10" s="13">
        <v>1600</v>
      </c>
      <c r="C10" s="13">
        <f>IF(B10 = "","",B10-'Calcoli per previsioni'!$F$5)</f>
        <v>1151.2176923076922</v>
      </c>
      <c r="D10" s="14">
        <v>0.7</v>
      </c>
      <c r="E10" s="14">
        <v>0.30000000000000004</v>
      </c>
      <c r="F10" s="38">
        <f t="shared" si="0"/>
        <v>805.85238461538449</v>
      </c>
      <c r="G10" s="30">
        <f t="shared" si="1"/>
        <v>345.36530769230774</v>
      </c>
      <c r="I10" s="41" t="s">
        <v>8</v>
      </c>
      <c r="J10" t="s">
        <v>13</v>
      </c>
      <c r="K10" s="21">
        <v>3.5</v>
      </c>
    </row>
    <row r="11" spans="1:11" x14ac:dyDescent="0.25">
      <c r="A11" s="12" t="s">
        <v>41</v>
      </c>
      <c r="B11" s="13">
        <v>1600</v>
      </c>
      <c r="C11" s="13">
        <f>IF(B11 = "","",B11-'Calcoli per previsioni'!$F$5)</f>
        <v>1151.2176923076922</v>
      </c>
      <c r="D11" s="14">
        <v>0.7</v>
      </c>
      <c r="E11" s="14">
        <v>0.30000000000000004</v>
      </c>
      <c r="F11" s="38">
        <f t="shared" si="0"/>
        <v>805.85238461538449</v>
      </c>
      <c r="G11" s="30">
        <f t="shared" si="1"/>
        <v>345.36530769230774</v>
      </c>
      <c r="I11" s="41" t="s">
        <v>9</v>
      </c>
      <c r="J11" t="s">
        <v>13</v>
      </c>
      <c r="K11" s="21">
        <v>0.99</v>
      </c>
    </row>
    <row r="12" spans="1:11" x14ac:dyDescent="0.25">
      <c r="A12" s="12" t="s">
        <v>25</v>
      </c>
      <c r="B12" s="13">
        <v>1600</v>
      </c>
      <c r="C12" s="13">
        <f>IF(B12 = "","",B12-'Calcoli per previsioni'!$F$5)</f>
        <v>1151.2176923076922</v>
      </c>
      <c r="D12" s="14">
        <v>0.7</v>
      </c>
      <c r="E12" s="14">
        <v>0.30000000000000004</v>
      </c>
      <c r="F12" s="38">
        <f t="shared" si="0"/>
        <v>805.85238461538449</v>
      </c>
      <c r="G12" s="30">
        <f t="shared" si="1"/>
        <v>345.36530769230774</v>
      </c>
      <c r="I12" s="41" t="s">
        <v>10</v>
      </c>
      <c r="J12" t="s">
        <v>13</v>
      </c>
      <c r="K12" s="21">
        <v>12.67</v>
      </c>
    </row>
    <row r="13" spans="1:11" x14ac:dyDescent="0.25">
      <c r="A13" s="12" t="s">
        <v>42</v>
      </c>
      <c r="B13" s="13">
        <v>1600</v>
      </c>
      <c r="C13" s="13">
        <f>IF(B13 = "","",B13-'Calcoli per previsioni'!$F$5)</f>
        <v>1151.2176923076922</v>
      </c>
      <c r="D13" s="14">
        <v>0.7</v>
      </c>
      <c r="E13" s="14">
        <v>0.30000000000000004</v>
      </c>
      <c r="F13" s="38">
        <f t="shared" si="0"/>
        <v>805.85238461538449</v>
      </c>
      <c r="G13" s="30">
        <f t="shared" si="1"/>
        <v>345.36530769230774</v>
      </c>
      <c r="I13" s="41" t="s">
        <v>11</v>
      </c>
      <c r="J13" t="s">
        <v>14</v>
      </c>
      <c r="K13" s="21">
        <v>925</v>
      </c>
    </row>
    <row r="14" spans="1:11" x14ac:dyDescent="0.25">
      <c r="A14" s="12" t="s">
        <v>43</v>
      </c>
      <c r="B14" s="13">
        <v>1600</v>
      </c>
      <c r="C14" s="13">
        <f>IF(B14 = "","",B14-'Calcoli per previsioni'!$F$5)</f>
        <v>1151.2176923076922</v>
      </c>
      <c r="D14" s="14">
        <v>0.7</v>
      </c>
      <c r="E14" s="14">
        <v>0.30000000000000004</v>
      </c>
      <c r="F14" s="38">
        <f t="shared" si="0"/>
        <v>805.85238461538449</v>
      </c>
      <c r="G14" s="30">
        <f t="shared" si="1"/>
        <v>345.36530769230774</v>
      </c>
      <c r="I14" s="41" t="s">
        <v>12</v>
      </c>
      <c r="J14" t="s">
        <v>14</v>
      </c>
      <c r="K14" s="21">
        <v>203.25</v>
      </c>
    </row>
    <row r="15" spans="1:11" x14ac:dyDescent="0.25">
      <c r="A15" s="12" t="s">
        <v>44</v>
      </c>
      <c r="B15" s="13">
        <v>1600</v>
      </c>
      <c r="C15" s="13">
        <f>IF(B15 = "","",B15-'Calcoli per previsioni'!$F$5)</f>
        <v>1151.2176923076922</v>
      </c>
      <c r="D15" s="14">
        <v>0.7</v>
      </c>
      <c r="E15" s="14">
        <v>0.30000000000000004</v>
      </c>
      <c r="F15" s="38">
        <f t="shared" si="0"/>
        <v>805.85238461538449</v>
      </c>
      <c r="G15" s="30">
        <f t="shared" si="1"/>
        <v>345.36530769230774</v>
      </c>
      <c r="I15" s="41"/>
      <c r="K15" s="21"/>
    </row>
    <row r="16" spans="1:11" x14ac:dyDescent="0.25">
      <c r="A16" s="12" t="s">
        <v>45</v>
      </c>
      <c r="B16" s="13">
        <v>1600</v>
      </c>
      <c r="C16" s="13">
        <f>IF(B16 = "","",B16-'Calcoli per previsioni'!$F$5)</f>
        <v>1151.2176923076922</v>
      </c>
      <c r="D16" s="14">
        <v>0.7</v>
      </c>
      <c r="E16" s="14">
        <v>0.30000000000000004</v>
      </c>
      <c r="F16" s="38">
        <f t="shared" si="0"/>
        <v>805.85238461538449</v>
      </c>
      <c r="G16" s="30">
        <f t="shared" si="1"/>
        <v>345.36530769230774</v>
      </c>
      <c r="I16" s="41"/>
      <c r="K16" s="21"/>
    </row>
    <row r="17" spans="1:11" x14ac:dyDescent="0.25">
      <c r="A17" s="16" t="s">
        <v>46</v>
      </c>
      <c r="B17" s="13">
        <v>1600</v>
      </c>
      <c r="C17" s="13">
        <f>IF(B17 = "","",B17-'Calcoli per previsioni'!$F$5)</f>
        <v>1151.2176923076922</v>
      </c>
      <c r="D17" s="14">
        <v>0.7</v>
      </c>
      <c r="E17" s="14">
        <v>0.30000000000000004</v>
      </c>
      <c r="F17" s="38">
        <f t="shared" si="0"/>
        <v>805.85238461538449</v>
      </c>
      <c r="G17" s="30">
        <f t="shared" si="1"/>
        <v>345.36530769230774</v>
      </c>
      <c r="I17" s="41"/>
      <c r="K17" s="21"/>
    </row>
    <row r="18" spans="1:11" x14ac:dyDescent="0.25">
      <c r="A18" s="12" t="s">
        <v>47</v>
      </c>
      <c r="B18" s="13">
        <v>1600</v>
      </c>
      <c r="C18" s="13">
        <f>IF(B18 = "","",B18-'Calcoli per previsioni'!$F$5)</f>
        <v>1151.2176923076922</v>
      </c>
      <c r="D18" s="14">
        <v>0.7</v>
      </c>
      <c r="E18" s="14">
        <v>0.30000000000000004</v>
      </c>
      <c r="F18" s="38">
        <f t="shared" si="0"/>
        <v>805.85238461538449</v>
      </c>
      <c r="G18" s="30">
        <f t="shared" si="1"/>
        <v>345.36530769230774</v>
      </c>
      <c r="I18" s="41"/>
      <c r="K18" s="21"/>
    </row>
    <row r="19" spans="1:11" x14ac:dyDescent="0.25">
      <c r="A19" s="12" t="s">
        <v>48</v>
      </c>
      <c r="B19" s="13">
        <v>1600</v>
      </c>
      <c r="C19" s="13">
        <f>IF(B19 = "","",B19-'Calcoli per previsioni'!$F$5)</f>
        <v>1151.2176923076922</v>
      </c>
      <c r="D19" s="14">
        <v>0.7</v>
      </c>
      <c r="E19" s="14">
        <v>0.30000000000000004</v>
      </c>
      <c r="F19" s="38">
        <f t="shared" si="0"/>
        <v>805.85238461538449</v>
      </c>
      <c r="G19" s="30">
        <f t="shared" si="1"/>
        <v>345.36530769230774</v>
      </c>
      <c r="I19" s="41"/>
      <c r="K19" s="21"/>
    </row>
    <row r="20" spans="1:11" x14ac:dyDescent="0.25">
      <c r="A20" s="12" t="s">
        <v>29</v>
      </c>
      <c r="B20" s="13">
        <v>1300</v>
      </c>
      <c r="C20" s="13">
        <f>IF(B20 = "","",B20-'Calcoli per previsioni'!$F$5)</f>
        <v>851.21769230769223</v>
      </c>
      <c r="D20" s="14">
        <v>0.7</v>
      </c>
      <c r="E20" s="14">
        <v>0.30000000000000004</v>
      </c>
      <c r="F20" s="38">
        <f t="shared" si="0"/>
        <v>595.85238461538449</v>
      </c>
      <c r="G20" s="30">
        <f t="shared" si="1"/>
        <v>255.36530769230771</v>
      </c>
      <c r="I20" s="41"/>
      <c r="K20" s="21"/>
    </row>
    <row r="21" spans="1:11" x14ac:dyDescent="0.25">
      <c r="A21" s="28" t="s">
        <v>30</v>
      </c>
      <c r="B21" s="29"/>
      <c r="C21" s="29" t="str">
        <f>IF(B21 = "","",B21-'Calcoli per previsioni'!$F$5)</f>
        <v/>
      </c>
      <c r="D21" s="29"/>
      <c r="E21" s="29"/>
      <c r="F21" s="29" t="str">
        <f t="shared" si="0"/>
        <v/>
      </c>
      <c r="G21" s="34" t="str">
        <f t="shared" si="1"/>
        <v/>
      </c>
      <c r="I21" s="41"/>
      <c r="K21" s="21"/>
    </row>
    <row r="22" spans="1:11" x14ac:dyDescent="0.25">
      <c r="I22" s="41"/>
      <c r="K22" s="21"/>
    </row>
    <row r="23" spans="1:11" x14ac:dyDescent="0.25">
      <c r="I23" s="41"/>
      <c r="K23" s="21"/>
    </row>
    <row r="24" spans="1:11" x14ac:dyDescent="0.25">
      <c r="I24" s="41"/>
      <c r="K24" s="21"/>
    </row>
    <row r="25" spans="1:11" ht="17.25" x14ac:dyDescent="0.3">
      <c r="D25" s="35"/>
      <c r="E25" s="35"/>
      <c r="F25"/>
      <c r="G25"/>
      <c r="I25" s="41"/>
      <c r="K25" s="21"/>
    </row>
    <row r="26" spans="1:11" x14ac:dyDescent="0.25">
      <c r="D26" s="36"/>
      <c r="E26" s="36"/>
      <c r="F26"/>
      <c r="G26"/>
      <c r="I26" s="42"/>
      <c r="J26" s="18"/>
      <c r="K26" s="22"/>
    </row>
    <row r="27" spans="1:11" x14ac:dyDescent="0.25">
      <c r="D27" s="36"/>
      <c r="E27" s="36"/>
      <c r="F27"/>
      <c r="G27"/>
    </row>
    <row r="28" spans="1:11" x14ac:dyDescent="0.25">
      <c r="D28" s="36"/>
      <c r="E28" s="36"/>
      <c r="F28"/>
      <c r="G28"/>
    </row>
    <row r="29" spans="1:11" x14ac:dyDescent="0.25">
      <c r="D29" s="36"/>
      <c r="E29" s="36"/>
      <c r="F29"/>
      <c r="G29"/>
    </row>
    <row r="30" spans="1:11" x14ac:dyDescent="0.25">
      <c r="D30" s="36"/>
      <c r="E30" s="36"/>
      <c r="F30"/>
      <c r="G30"/>
    </row>
    <row r="31" spans="1:11" x14ac:dyDescent="0.25">
      <c r="D31" s="36"/>
      <c r="E31" s="36"/>
      <c r="F31"/>
      <c r="G31"/>
    </row>
    <row r="32" spans="1:11" x14ac:dyDescent="0.25">
      <c r="D32" s="36"/>
      <c r="E32" s="36"/>
      <c r="F32"/>
      <c r="G32"/>
    </row>
    <row r="33" spans="4:7" x14ac:dyDescent="0.25">
      <c r="D33" s="36"/>
      <c r="E33" s="36"/>
      <c r="F33"/>
      <c r="G33"/>
    </row>
    <row r="34" spans="4:7" x14ac:dyDescent="0.25">
      <c r="D34" s="36"/>
      <c r="E34" s="36"/>
      <c r="F34"/>
      <c r="G34"/>
    </row>
    <row r="35" spans="4:7" x14ac:dyDescent="0.25">
      <c r="D35" s="36"/>
      <c r="E35" s="36"/>
      <c r="F35"/>
      <c r="G35"/>
    </row>
    <row r="36" spans="4:7" x14ac:dyDescent="0.25">
      <c r="D36" s="36"/>
      <c r="E36" s="36"/>
      <c r="F36"/>
      <c r="G36"/>
    </row>
    <row r="37" spans="4:7" x14ac:dyDescent="0.25">
      <c r="D37" s="36"/>
      <c r="E37" s="36"/>
      <c r="F37"/>
      <c r="G37"/>
    </row>
    <row r="38" spans="4:7" x14ac:dyDescent="0.25">
      <c r="D38" s="36"/>
      <c r="E38" s="36"/>
      <c r="F38"/>
      <c r="G38"/>
    </row>
    <row r="39" spans="4:7" x14ac:dyDescent="0.25">
      <c r="D39" s="36"/>
      <c r="E39" s="36"/>
      <c r="F39"/>
      <c r="G39"/>
    </row>
    <row r="40" spans="4:7" x14ac:dyDescent="0.25">
      <c r="D40" s="36"/>
      <c r="E40" s="36"/>
      <c r="F40"/>
      <c r="G40"/>
    </row>
    <row r="41" spans="4:7" x14ac:dyDescent="0.25">
      <c r="D41" s="36"/>
      <c r="E41" s="36"/>
      <c r="F41"/>
      <c r="G41"/>
    </row>
    <row r="42" spans="4:7" x14ac:dyDescent="0.25">
      <c r="D42" s="36"/>
      <c r="E42" s="36"/>
      <c r="F42"/>
      <c r="G42"/>
    </row>
    <row r="43" spans="4:7" x14ac:dyDescent="0.25">
      <c r="D43" s="36"/>
      <c r="E43" s="36"/>
      <c r="F43"/>
      <c r="G43"/>
    </row>
    <row r="44" spans="4:7" x14ac:dyDescent="0.25">
      <c r="D44" s="36"/>
      <c r="E44" s="36"/>
      <c r="F44"/>
      <c r="G44"/>
    </row>
  </sheetData>
  <sheetProtection algorithmName="SHA-512" hashValue="XzC5f4i2BuptoA3pY5B3kFumOqG81VF26X8avWExEPywyxLjdJs/lNUdpbFcxd+PHqaa8vpo6BJ8roUSJ9Vsyw==" saltValue="PlyBpSnDXorf9iqj9ZZlmQ==" spinCount="100000" sheet="1" objects="1" scenarios="1"/>
  <protectedRanges>
    <protectedRange sqref="D8:E21 B8:B21 A5:B5 I8:K26" name="Intervallo1"/>
  </protectedRanges>
  <conditionalFormatting sqref="A21:G21">
    <cfRule type="expression" dxfId="1" priority="2">
      <formula>$B$5="NO"</formula>
    </cfRule>
  </conditionalFormatting>
  <conditionalFormatting sqref="A20:C20">
    <cfRule type="expression" dxfId="0" priority="1">
      <formula>$A$5="NO"</formula>
    </cfRule>
  </conditionalFormatting>
  <dataValidations disablePrompts="1" count="2">
    <dataValidation type="list" allowBlank="1" showInputMessage="1" showErrorMessage="1" sqref="A5:B5" xr:uid="{AC7672C8-117D-42A8-AEB2-08E44F5B5043}">
      <formula1>"SI,NO"</formula1>
    </dataValidation>
    <dataValidation type="list" showInputMessage="1" showErrorMessage="1" sqref="J8:J26" xr:uid="{092B9BBC-6828-4BFF-A947-AD844DDF0D6D}">
      <formula1>"MENSILE,ANNUALE"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5D30-4DAC-4F56-BBDF-22DC91A269C8}">
  <sheetPr codeName="Foglio4"/>
  <dimension ref="A1:K45"/>
  <sheetViews>
    <sheetView workbookViewId="0">
      <selection activeCell="B36" sqref="B36"/>
    </sheetView>
  </sheetViews>
  <sheetFormatPr defaultRowHeight="15" x14ac:dyDescent="0.25"/>
  <cols>
    <col min="2" max="2" width="25.7109375" bestFit="1" customWidth="1"/>
    <col min="3" max="3" width="23" customWidth="1"/>
    <col min="4" max="4" width="32.85546875" customWidth="1"/>
    <col min="5" max="5" width="18.7109375" bestFit="1" customWidth="1"/>
    <col min="6" max="6" width="30.5703125" customWidth="1"/>
    <col min="7" max="7" width="17.5703125" customWidth="1"/>
    <col min="8" max="9" width="25.7109375" customWidth="1"/>
    <col min="10" max="11" width="23.140625" customWidth="1"/>
  </cols>
  <sheetData>
    <row r="1" spans="1:11" x14ac:dyDescent="0.25">
      <c r="A1" s="12"/>
      <c r="B1" s="13"/>
      <c r="C1" s="13"/>
      <c r="D1" s="15"/>
      <c r="E1" s="15"/>
    </row>
    <row r="2" spans="1:11" s="27" customFormat="1" ht="24.75" thickBot="1" x14ac:dyDescent="0.3">
      <c r="A2" s="24" t="s">
        <v>55</v>
      </c>
      <c r="B2" s="25"/>
      <c r="C2" s="25"/>
      <c r="D2" s="26"/>
      <c r="E2" s="26"/>
    </row>
    <row r="3" spans="1:11" x14ac:dyDescent="0.25">
      <c r="A3" s="12"/>
      <c r="B3" s="13"/>
      <c r="C3" s="13"/>
      <c r="D3" s="15"/>
      <c r="E3" s="15"/>
    </row>
    <row r="4" spans="1:11" x14ac:dyDescent="0.25">
      <c r="A4" s="8" t="s">
        <v>15</v>
      </c>
      <c r="B4" s="6" t="s">
        <v>16</v>
      </c>
      <c r="C4" s="6" t="s">
        <v>17</v>
      </c>
      <c r="D4" s="6" t="s">
        <v>36</v>
      </c>
      <c r="E4" s="6" t="s">
        <v>22</v>
      </c>
      <c r="F4" s="6" t="s">
        <v>37</v>
      </c>
      <c r="G4" s="6" t="s">
        <v>33</v>
      </c>
      <c r="H4" s="6" t="s">
        <v>31</v>
      </c>
      <c r="I4" s="6" t="s">
        <v>34</v>
      </c>
      <c r="J4" s="6" t="s">
        <v>32</v>
      </c>
      <c r="K4" s="6" t="s">
        <v>35</v>
      </c>
    </row>
    <row r="5" spans="1:11" x14ac:dyDescent="0.25">
      <c r="A5" s="9"/>
      <c r="B5">
        <f>IF(Previsioni!J8 = "MENSILE",1,IF(Previsioni!J8 = "","",0))</f>
        <v>1</v>
      </c>
      <c r="C5">
        <f>IF(B5 = 1,Previsioni!K8,IF(B5=0,Previsioni!K8/12,""))</f>
        <v>225</v>
      </c>
      <c r="D5" s="23">
        <f>SUM(C$5:C$45)</f>
        <v>999.84614102564103</v>
      </c>
      <c r="E5">
        <f>IF(Previsioni!A5 ="SI",IF(Previsioni!B5 ="SI",14,13),12)</f>
        <v>13</v>
      </c>
      <c r="F5" s="5">
        <f>I5/E5</f>
        <v>448.78230769230771</v>
      </c>
      <c r="G5" s="5">
        <f>SUM(Previsioni!B8:B21)</f>
        <v>20500</v>
      </c>
      <c r="H5" s="5">
        <f>SUM(Previsioni!F8:F21)</f>
        <v>10266.080999999998</v>
      </c>
      <c r="I5" s="5">
        <f>SUM(C5:C23)*12</f>
        <v>5834.17</v>
      </c>
      <c r="J5" s="5">
        <f>SUM(Previsioni!G8:G21)</f>
        <v>4399.7490000000007</v>
      </c>
      <c r="K5" s="5">
        <f>SUM(Previsioni!C8:C21)</f>
        <v>14665.829999999994</v>
      </c>
    </row>
    <row r="6" spans="1:11" x14ac:dyDescent="0.25">
      <c r="A6" s="9"/>
      <c r="B6">
        <f>IF(Previsioni!J9 = "MENSILE",1,IF(Previsioni!J9 = "","",0))</f>
        <v>1</v>
      </c>
      <c r="C6">
        <f>IF(B6 = 1,Previsioni!K9,IF(B6=0,Previsioni!K9/12,""))</f>
        <v>150</v>
      </c>
    </row>
    <row r="7" spans="1:11" x14ac:dyDescent="0.25">
      <c r="A7" s="9"/>
      <c r="B7">
        <f>IF(Previsioni!J10 = "MENSILE",1,IF(Previsioni!J10 = "","",0))</f>
        <v>1</v>
      </c>
      <c r="C7">
        <f>IF(B7 = 1,Previsioni!K10,IF(B7=0,Previsioni!K10/12,""))</f>
        <v>3.5</v>
      </c>
    </row>
    <row r="8" spans="1:11" x14ac:dyDescent="0.25">
      <c r="A8" s="9"/>
      <c r="B8">
        <f>IF(Previsioni!J11 = "MENSILE",1,IF(Previsioni!J11 = "","",0))</f>
        <v>1</v>
      </c>
      <c r="C8">
        <f>IF(B8 = 1,Previsioni!K11,IF(B8=0,Previsioni!K11/12,""))</f>
        <v>0.99</v>
      </c>
    </row>
    <row r="9" spans="1:11" x14ac:dyDescent="0.25">
      <c r="A9" s="9"/>
      <c r="B9">
        <f>IF(Previsioni!J12 = "MENSILE",1,IF(Previsioni!J12 = "","",0))</f>
        <v>1</v>
      </c>
      <c r="C9">
        <f>IF(B9 = 1,Previsioni!K12,IF(B9=0,Previsioni!K12/12,""))</f>
        <v>12.67</v>
      </c>
    </row>
    <row r="10" spans="1:11" x14ac:dyDescent="0.25">
      <c r="A10" s="9"/>
      <c r="B10">
        <f>IF(Previsioni!J13 = "MENSILE",1,IF(Previsioni!J13 = "","",0))</f>
        <v>0</v>
      </c>
      <c r="C10" s="7">
        <f>IF(B10 = 1,Previsioni!K13,IF(B10=0,Previsioni!K13/12,""))</f>
        <v>77.083333333333329</v>
      </c>
    </row>
    <row r="11" spans="1:11" x14ac:dyDescent="0.25">
      <c r="A11" s="9"/>
      <c r="B11">
        <f>IF(Previsioni!J14 = "MENSILE",1,IF(Previsioni!J14 = "","",0))</f>
        <v>0</v>
      </c>
      <c r="C11" s="7">
        <f>IF(B11 = 1,Previsioni!K14,IF(B11=0,Previsioni!K14/12,""))</f>
        <v>16.9375</v>
      </c>
    </row>
    <row r="12" spans="1:11" x14ac:dyDescent="0.25">
      <c r="A12" s="9"/>
      <c r="B12" t="str">
        <f>IF(Previsioni!J15 = "MENSILE",1,IF(Previsioni!J15 = "","",0))</f>
        <v/>
      </c>
      <c r="C12" t="str">
        <f>IF(B12 = 1,Previsioni!K15,IF(B12=0,Previsioni!K15/12,""))</f>
        <v/>
      </c>
    </row>
    <row r="13" spans="1:11" x14ac:dyDescent="0.25">
      <c r="A13" s="9"/>
      <c r="B13" t="str">
        <f>IF(Previsioni!J16 = "MENSILE",1,IF(Previsioni!J16 = "","",0))</f>
        <v/>
      </c>
      <c r="C13" t="str">
        <f>IF(B13 = 1,Previsioni!K16,IF(B13=0,Previsioni!K16/12,""))</f>
        <v/>
      </c>
    </row>
    <row r="14" spans="1:11" x14ac:dyDescent="0.25">
      <c r="A14" s="9"/>
      <c r="B14" t="str">
        <f>IF(Previsioni!J17 = "MENSILE",1,IF(Previsioni!J17 = "","",0))</f>
        <v/>
      </c>
      <c r="C14" t="str">
        <f>IF(B14 = 1,Previsioni!K17,IF(B14=0,Previsioni!K17/12,""))</f>
        <v/>
      </c>
    </row>
    <row r="15" spans="1:11" x14ac:dyDescent="0.25">
      <c r="A15" s="9"/>
      <c r="B15" t="str">
        <f>IF(Previsioni!J18 = "MENSILE",1,IF(Previsioni!J18 = "","",0))</f>
        <v/>
      </c>
      <c r="C15" t="str">
        <f>IF(B15 = 1,Previsioni!K18,IF(B15=0,Previsioni!K18/12,""))</f>
        <v/>
      </c>
    </row>
    <row r="16" spans="1:11" x14ac:dyDescent="0.25">
      <c r="A16" s="9"/>
      <c r="B16" t="str">
        <f>IF(Previsioni!J19 = "MENSILE",1,IF(Previsioni!J19 = "","",0))</f>
        <v/>
      </c>
      <c r="C16" t="str">
        <f>IF(B16 = 1,Previsioni!K19,IF(B16=0,Previsioni!K19/12,""))</f>
        <v/>
      </c>
    </row>
    <row r="17" spans="1:5" x14ac:dyDescent="0.25">
      <c r="A17" s="9"/>
      <c r="B17" t="str">
        <f>IF(Previsioni!J20 = "MENSILE",1,IF(Previsioni!J20 = "","",0))</f>
        <v/>
      </c>
      <c r="C17" t="str">
        <f>IF(B17 = 1,Previsioni!K20,IF(B17=0,Previsioni!K20/12,""))</f>
        <v/>
      </c>
    </row>
    <row r="18" spans="1:5" x14ac:dyDescent="0.25">
      <c r="A18" s="9"/>
      <c r="B18" t="str">
        <f>IF(Previsioni!J21 = "MENSILE",1,IF(Previsioni!J21 = "","",0))</f>
        <v/>
      </c>
      <c r="C18" t="str">
        <f>IF(B18 = 1,Previsioni!K21,IF(B18=0,Previsioni!K21/12,""))</f>
        <v/>
      </c>
    </row>
    <row r="19" spans="1:5" x14ac:dyDescent="0.25">
      <c r="A19" s="9"/>
      <c r="B19" t="str">
        <f>IF(Previsioni!J22 = "MENSILE",1,IF(Previsioni!J22 = "","",0))</f>
        <v/>
      </c>
      <c r="C19" t="str">
        <f>IF(B19 = 1,Previsioni!K22,IF(B19=0,Previsioni!K22/12,""))</f>
        <v/>
      </c>
    </row>
    <row r="20" spans="1:5" x14ac:dyDescent="0.25">
      <c r="A20" s="9"/>
      <c r="B20" t="str">
        <f>IF(Previsioni!J23 = "MENSILE",1,IF(Previsioni!J23 = "","",0))</f>
        <v/>
      </c>
      <c r="C20" t="str">
        <f>IF(B20 = 1,Previsioni!K23,IF(B20=0,Previsioni!K23/12,""))</f>
        <v/>
      </c>
    </row>
    <row r="21" spans="1:5" x14ac:dyDescent="0.25">
      <c r="A21" s="9"/>
      <c r="B21" t="str">
        <f>IF(Previsioni!J24 = "MENSILE",1,IF(Previsioni!J24 = "","",0))</f>
        <v/>
      </c>
      <c r="C21" t="str">
        <f>IF(B21 = 1,Previsioni!K24,IF(B21=0,Previsioni!K24/12,""))</f>
        <v/>
      </c>
    </row>
    <row r="22" spans="1:5" x14ac:dyDescent="0.25">
      <c r="A22" s="9"/>
      <c r="B22" t="str">
        <f>IF(Previsioni!J25 = "MENSILE",1,IF(Previsioni!J25 = "","",0))</f>
        <v/>
      </c>
      <c r="C22" t="str">
        <f>IF(B22 = 1,Previsioni!K25,IF(B22=0,Previsioni!K25/12,""))</f>
        <v/>
      </c>
    </row>
    <row r="23" spans="1:5" x14ac:dyDescent="0.25">
      <c r="A23" s="9"/>
      <c r="B23" t="str">
        <f>IF(Previsioni!J26 = "MENSILE",1,IF(Previsioni!J26 = "","",0))</f>
        <v/>
      </c>
      <c r="C23" t="str">
        <f>IF(B23 = 1,Previsioni!K26,IF(B23=0,Previsioni!K26/12,""))</f>
        <v/>
      </c>
    </row>
    <row r="24" spans="1:5" x14ac:dyDescent="0.25">
      <c r="A24" s="12"/>
      <c r="B24" s="13"/>
      <c r="C24" s="13"/>
      <c r="D24" s="15"/>
      <c r="E24" s="15"/>
    </row>
    <row r="25" spans="1:5" s="27" customFormat="1" ht="24.75" thickBot="1" x14ac:dyDescent="0.3">
      <c r="A25" s="24" t="s">
        <v>56</v>
      </c>
      <c r="B25" s="25"/>
      <c r="C25" s="25"/>
      <c r="D25" s="26"/>
      <c r="E25" s="26"/>
    </row>
    <row r="26" spans="1:5" x14ac:dyDescent="0.25">
      <c r="A26" s="8" t="s">
        <v>15</v>
      </c>
      <c r="B26" s="6" t="s">
        <v>58</v>
      </c>
      <c r="C26" s="6" t="s">
        <v>57</v>
      </c>
      <c r="D26" s="6" t="s">
        <v>34</v>
      </c>
      <c r="E26" s="6" t="s">
        <v>59</v>
      </c>
    </row>
    <row r="27" spans="1:5" x14ac:dyDescent="0.25">
      <c r="A27" s="9"/>
      <c r="B27" s="5">
        <f>SUM('Calcolo risparmi'!G8:G68)+E27</f>
        <v>7940.1223846153844</v>
      </c>
      <c r="C27" s="5">
        <f>SUM('Calcolo risparmi'!H8:H68)</f>
        <v>513.66530769230769</v>
      </c>
      <c r="D27">
        <f>'Calcolo Trattenute'!J5</f>
        <v>5834.17</v>
      </c>
      <c r="E27">
        <v>6741.57</v>
      </c>
    </row>
    <row r="28" spans="1:5" x14ac:dyDescent="0.25">
      <c r="A28" s="9"/>
    </row>
    <row r="29" spans="1:5" x14ac:dyDescent="0.25">
      <c r="A29" s="9"/>
    </row>
    <row r="30" spans="1:5" x14ac:dyDescent="0.25">
      <c r="A30" s="9"/>
    </row>
    <row r="31" spans="1:5" x14ac:dyDescent="0.25">
      <c r="A31" s="9"/>
    </row>
    <row r="32" spans="1:5" x14ac:dyDescent="0.25">
      <c r="A32" s="9"/>
    </row>
    <row r="33" spans="1:1" x14ac:dyDescent="0.25">
      <c r="A33" s="9"/>
    </row>
    <row r="34" spans="1:1" x14ac:dyDescent="0.25">
      <c r="A34" s="9"/>
    </row>
    <row r="35" spans="1:1" x14ac:dyDescent="0.25">
      <c r="A35" s="9"/>
    </row>
    <row r="36" spans="1:1" x14ac:dyDescent="0.25">
      <c r="A36" s="9"/>
    </row>
    <row r="37" spans="1:1" x14ac:dyDescent="0.25">
      <c r="A37" s="9"/>
    </row>
    <row r="38" spans="1:1" x14ac:dyDescent="0.25">
      <c r="A38" s="9"/>
    </row>
    <row r="39" spans="1:1" x14ac:dyDescent="0.25">
      <c r="A39" s="9"/>
    </row>
    <row r="40" spans="1:1" x14ac:dyDescent="0.25">
      <c r="A40" s="9"/>
    </row>
    <row r="41" spans="1:1" x14ac:dyDescent="0.25">
      <c r="A41" s="9"/>
    </row>
    <row r="42" spans="1:1" x14ac:dyDescent="0.25">
      <c r="A42" s="9"/>
    </row>
    <row r="43" spans="1:1" x14ac:dyDescent="0.25">
      <c r="A43" s="9"/>
    </row>
    <row r="44" spans="1:1" x14ac:dyDescent="0.25">
      <c r="A44" s="9"/>
    </row>
    <row r="45" spans="1:1" x14ac:dyDescent="0.25">
      <c r="A45" s="9"/>
    </row>
  </sheetData>
  <sheetProtection algorithmName="SHA-512" hashValue="SYxvGu7ly2hPyN9C/h0INKSqktXjs7bRE8JbKSEVSf+RNE280Q9agIY4T8z3xiCvYnMvYNY6R+FNbGrJDkOv3Q==" saltValue="I9KPQSRixyL1zI1VQu5j1Q==" spinCount="100000" sheet="1" objects="1" scenarios="1"/>
  <protectedRanges>
    <protectedRange sqref="E27" name="Intervallo1"/>
  </protectedRange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Calcolo risparmi</vt:lpstr>
      <vt:lpstr>Calcolo Trattenute</vt:lpstr>
      <vt:lpstr>Previsioni</vt:lpstr>
      <vt:lpstr>Calcoli per previsioni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Paladini</dc:creator>
  <cp:lastModifiedBy>Federico Paladini</cp:lastModifiedBy>
  <dcterms:created xsi:type="dcterms:W3CDTF">2026-06-09T05:53:29Z</dcterms:created>
  <dcterms:modified xsi:type="dcterms:W3CDTF">2026-06-10T06:51:55Z</dcterms:modified>
</cp:coreProperties>
</file>